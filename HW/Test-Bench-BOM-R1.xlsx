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Alternates &amp; Dropped" sheetId="2" state="visible" r:id="rId2"/>
    <sheet xmlns:r="http://schemas.openxmlformats.org/officeDocument/2006/relationships" name="Ope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1F2328"/>
      <sz val="15"/>
    </font>
    <font>
      <name val="Arial"/>
      <color rgb="006B7280"/>
      <sz val="10"/>
    </font>
    <font>
      <name val="Arial"/>
      <b val="1"/>
      <color rgb="00FFFFFF"/>
      <sz val="9"/>
    </font>
    <font>
      <name val="Arial"/>
      <color rgb="006B7280"/>
      <sz val="9"/>
    </font>
    <font>
      <name val="Arial"/>
      <b val="1"/>
      <color rgb="001F2328"/>
      <sz val="10"/>
    </font>
    <font>
      <name val="Arial"/>
      <color rgb="001F2328"/>
      <sz val="10"/>
    </font>
    <font>
      <name val="Arial"/>
      <color rgb="001D5FA8"/>
      <sz val="9"/>
      <u val="single"/>
    </font>
    <font>
      <name val="Arial"/>
      <b val="1"/>
      <color rgb="001F2328"/>
      <sz val="11"/>
    </font>
    <font>
      <name val="Arial"/>
      <b val="1"/>
      <color rgb="00B03A2B"/>
      <sz val="9"/>
    </font>
  </fonts>
  <fills count="6">
    <fill>
      <patternFill/>
    </fill>
    <fill>
      <patternFill patternType="gray125"/>
    </fill>
    <fill>
      <patternFill patternType="solid">
        <fgColor rgb="002E3440"/>
      </patternFill>
    </fill>
    <fill>
      <patternFill patternType="solid">
        <fgColor rgb="00FFF6CC"/>
      </patternFill>
    </fill>
    <fill>
      <patternFill patternType="solid">
        <fgColor rgb="00EDEFF2"/>
      </patternFill>
    </fill>
    <fill>
      <patternFill patternType="solid">
        <fgColor rgb="00F7F8FA"/>
      </patternFill>
    </fill>
  </fills>
  <borders count="3">
    <border>
      <left/>
      <right/>
      <top/>
      <bottom/>
      <diagonal/>
    </border>
    <border>
      <left style="thin">
        <color rgb="00D4D9E0"/>
      </left>
      <right style="thin">
        <color rgb="00D4D9E0"/>
      </right>
      <top style="thin">
        <color rgb="00D4D9E0"/>
      </top>
      <bottom style="thin">
        <color rgb="00D4D9E0"/>
      </bottom>
    </border>
    <border>
      <left style="thin">
        <color rgb="00D4D9E0"/>
      </left>
      <right style="thin">
        <color rgb="00D4D9E0"/>
      </right>
      <top style="medium">
        <color rgb="002E3440"/>
      </top>
      <bottom style="medium">
        <color rgb="002E344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/>
    </xf>
    <xf numFmtId="164" fontId="6" fillId="3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0" fillId="4" borderId="2" pivotButton="0" quotePrefix="0" xfId="0"/>
    <xf numFmtId="0" fontId="8" fillId="4" borderId="2" pivotButton="0" quotePrefix="0" xfId="0"/>
    <xf numFmtId="0" fontId="8" fillId="4" borderId="2" applyAlignment="1" pivotButton="0" quotePrefix="0" xfId="0">
      <alignment horizontal="center" vertical="top"/>
    </xf>
    <xf numFmtId="164" fontId="8" fillId="4" borderId="2" applyAlignment="1" pivotButton="0" quotePrefix="0" xfId="0">
      <alignment horizontal="right" vertical="top"/>
    </xf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pivotButton="0" quotePrefix="0" xfId="0"/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detail/arduino/ABX00087/20371539" TargetMode="External" Id="rId1"/><Relationship Type="http://schemas.openxmlformats.org/officeDocument/2006/relationships/hyperlink" Target="https://www.pololu.com/product/5030" TargetMode="External" Id="rId2"/><Relationship Type="http://schemas.openxmlformats.org/officeDocument/2006/relationships/hyperlink" Target="https://www.digikey.com/en/products/detail/m5stack-technology-co-ltd/U153/17372328" TargetMode="External" Id="rId3"/><Relationship Type="http://schemas.openxmlformats.org/officeDocument/2006/relationships/hyperlink" Target="https://www.amazon.com/s?k=8+channel+optocoupler+isolation+module+24V" TargetMode="External" Id="rId4"/><Relationship Type="http://schemas.openxmlformats.org/officeDocument/2006/relationships/hyperlink" Target="https://www.digikey.com/en/products/detail/mean-well-usa-inc/LRS-200-24/7705026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shop.m5stack.com/products/8-angle-unit-with-potentiomete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6" customWidth="1" min="4" max="4"/>
    <col width="12" customWidth="1" min="5" max="5"/>
    <col width="12" customWidth="1" min="6" max="6"/>
    <col width="12" customWidth="1" min="7" max="7"/>
    <col width="18" customWidth="1" min="8" max="8"/>
    <col width="62" customWidth="1" min="9" max="9"/>
  </cols>
  <sheetData>
    <row r="1">
      <c r="A1" s="1" t="inlineStr">
        <is>
          <t>Lane Driver Test Rig - Bill of Materials</t>
        </is>
      </c>
    </row>
    <row r="2">
      <c r="A2" s="2" t="inlineStr">
        <is>
          <t>8 x CB002-24V-573mm conveyor lanes  |  Arduino Uno R4 WiFi + 3 x Motoron M3S256 + M5Stack 8Encoder  |  Rev C</t>
        </is>
      </c>
    </row>
    <row r="3">
      <c r="A3" s="2" t="inlineStr">
        <is>
          <t>Bidirectional, independent PWM speed per lane. Wire, terminal blocks, DIN rail and fusing sourced locally and not listed.</t>
        </is>
      </c>
    </row>
    <row r="5" ht="30" customHeight="1">
      <c r="A5" s="3" t="inlineStr">
        <is>
          <t>#</t>
        </is>
      </c>
      <c r="B5" s="3" t="inlineStr">
        <is>
          <t>Part</t>
        </is>
      </c>
      <c r="C5" s="3" t="inlineStr">
        <is>
          <t>Mfr P/N</t>
        </is>
      </c>
      <c r="D5" s="3" t="inlineStr">
        <is>
          <t>Qty</t>
        </is>
      </c>
      <c r="E5" s="3" t="inlineStr">
        <is>
          <t>Unit Price
(est. USD)</t>
        </is>
      </c>
      <c r="F5" s="3" t="inlineStr">
        <is>
          <t>Ext. Price</t>
        </is>
      </c>
      <c r="G5" s="3" t="inlineStr">
        <is>
          <t>Supplier</t>
        </is>
      </c>
      <c r="H5" s="3" t="inlineStr">
        <is>
          <t>Buy Link</t>
        </is>
      </c>
      <c r="I5" s="3" t="inlineStr">
        <is>
          <t>Notes</t>
        </is>
      </c>
    </row>
    <row r="6" ht="46" customHeight="1">
      <c r="A6" s="4" t="n">
        <v>1</v>
      </c>
      <c r="B6" s="5" t="inlineStr">
        <is>
          <t>Arduino Uno R4 WiFi</t>
        </is>
      </c>
      <c r="C6" s="6" t="inlineStr">
        <is>
          <t>ABX00087</t>
        </is>
      </c>
      <c r="D6" s="7" t="n">
        <v>1</v>
      </c>
      <c r="E6" s="8" t="n">
        <v>27.5</v>
      </c>
      <c r="F6" s="9">
        <f>D6*E6</f>
        <v/>
      </c>
      <c r="G6" s="6" t="inlineStr">
        <is>
          <t>DigiKey</t>
        </is>
      </c>
      <c r="H6" s="10" t="inlineStr">
        <is>
          <t>Open product page</t>
        </is>
      </c>
      <c r="I6" s="11" t="inlineStr">
        <is>
          <t>RA4M1 48 MHz, 5 V logic, official Uno pinout so the Motoron shields seat correctly. Also at Mouser and Amazon.</t>
        </is>
      </c>
    </row>
    <row r="7" ht="46" customHeight="1">
      <c r="A7" s="4" t="n">
        <v>2</v>
      </c>
      <c r="B7" s="5" t="inlineStr">
        <is>
          <t>Pololu Motoron M3S256</t>
        </is>
      </c>
      <c r="C7" s="6" t="inlineStr">
        <is>
          <t>#5030</t>
        </is>
      </c>
      <c r="D7" s="7" t="n">
        <v>3</v>
      </c>
      <c r="E7" s="8" t="n">
        <v>39.95</v>
      </c>
      <c r="F7" s="9">
        <f>D7*E7</f>
        <v/>
      </c>
      <c r="G7" s="6" t="inlineStr">
        <is>
          <t>Pololu</t>
        </is>
      </c>
      <c r="H7" s="10" t="inlineStr">
        <is>
          <t>Open product page</t>
        </is>
      </c>
      <c r="I7" s="11" t="inlineStr">
        <is>
          <t>3 ch, 4.5-48 V, 2.0 A cont / 6.4 A peak. Stacks on the Uno; uses only SDA, SCL, GND, IOREF. NOT stocked by DigiKey or Mouser - separate order, likely the critical path on lead time.</t>
        </is>
      </c>
    </row>
    <row r="8" ht="46" customHeight="1">
      <c r="A8" s="4" t="n">
        <v>3</v>
      </c>
      <c r="B8" s="5" t="inlineStr">
        <is>
          <t>M5Stack 8Encoder Unit</t>
        </is>
      </c>
      <c r="C8" s="6" t="inlineStr">
        <is>
          <t>U153</t>
        </is>
      </c>
      <c r="D8" s="7" t="n">
        <v>1</v>
      </c>
      <c r="E8" s="8" t="n">
        <v>16</v>
      </c>
      <c r="F8" s="9">
        <f>D8*E8</f>
        <v/>
      </c>
      <c r="G8" s="6" t="inlineStr">
        <is>
          <t>DigiKey</t>
        </is>
      </c>
      <c r="H8" s="10" t="inlineStr">
        <is>
          <t>Open product page</t>
        </is>
      </c>
      <c r="I8" s="11" t="inlineStr">
        <is>
          <t>8 rotary encoders, each pressable as a per-lane button (&gt;50,000 cycles), 8 RGB LEDs + toggle switch. I2C 0x41, 5 V, Grove cable included.</t>
        </is>
      </c>
    </row>
    <row r="9" ht="46" customHeight="1">
      <c r="A9" s="4" t="n">
        <v>4</v>
      </c>
      <c r="B9" s="5" t="inlineStr">
        <is>
          <t>8-ch opto-isolated input board</t>
        </is>
      </c>
      <c r="C9" s="6" t="inlineStr">
        <is>
          <t>generic</t>
        </is>
      </c>
      <c r="D9" s="7" t="n">
        <v>1</v>
      </c>
      <c r="E9" s="8" t="n">
        <v>12</v>
      </c>
      <c r="F9" s="9">
        <f>D9*E9</f>
        <v/>
      </c>
      <c r="G9" s="6" t="inlineStr">
        <is>
          <t>Amazon</t>
        </is>
      </c>
      <c r="H9" s="10" t="inlineStr">
        <is>
          <t>Open product page</t>
        </is>
      </c>
      <c r="I9" s="11" t="inlineStr">
        <is>
          <t>Lane feedback (pin 3). Confirm PUSH-PULL output, not open collector. May be deleted entirely if the supplier confirms pin 3 is 5 V logic level - see Open Items.</t>
        </is>
      </c>
    </row>
    <row r="10" ht="46" customHeight="1">
      <c r="A10" s="4" t="n">
        <v>5</v>
      </c>
      <c r="B10" s="5" t="inlineStr">
        <is>
          <t>Mean Well LRS-200-24</t>
        </is>
      </c>
      <c r="C10" s="6" t="inlineStr">
        <is>
          <t>LRS-200-24</t>
        </is>
      </c>
      <c r="D10" s="7" t="n">
        <v>1</v>
      </c>
      <c r="E10" s="8" t="n">
        <v>40</v>
      </c>
      <c r="F10" s="9">
        <f>D10*E10</f>
        <v/>
      </c>
      <c r="G10" s="6" t="inlineStr">
        <is>
          <t>DigiKey</t>
        </is>
      </c>
      <c r="H10" s="10" t="inlineStr">
        <is>
          <t>Open product page</t>
        </is>
      </c>
      <c r="I10" s="11" t="inlineStr">
        <is>
          <t>24 V / 8.8 A, 211 W. Covers 8 lanes at full load. DigiKey P/N 1866-3332-ND. Also at Mouser and Amazon.</t>
        </is>
      </c>
    </row>
    <row r="11" ht="22" customHeight="1">
      <c r="A11" s="12" t="n"/>
      <c r="B11" s="13" t="inlineStr">
        <is>
          <t>TOTAL</t>
        </is>
      </c>
      <c r="C11" s="12" t="n"/>
      <c r="D11" s="14">
        <f>SUM(D6:D10)</f>
        <v/>
      </c>
      <c r="E11" s="12" t="n"/>
      <c r="F11" s="15">
        <f>SUM(F6:F10)</f>
        <v/>
      </c>
      <c r="G11" s="12" t="n"/>
      <c r="H11" s="12" t="n"/>
      <c r="I11" s="12" t="n"/>
    </row>
    <row r="13">
      <c r="B13" s="16" t="inlineStr">
        <is>
          <t>HOW TO USE</t>
        </is>
      </c>
    </row>
    <row r="14">
      <c r="B14" s="17" t="inlineStr">
        <is>
          <t>•  Yellow cells (Unit Price) are ESTIMATES only - replace each with the actual quoted price at order time. Ext. Price and TOTAL recalculate automatically.</t>
        </is>
      </c>
    </row>
    <row r="15">
      <c r="B15" s="17" t="inlineStr">
        <is>
          <t>•  Prices and stock change constantly; verify on the supplier page before ordering. Links were live when this sheet was written.</t>
        </is>
      </c>
    </row>
    <row r="16">
      <c r="B16" s="17" t="inlineStr">
        <is>
          <t>•  Only the Motoron controllers require a separate order (Pololu direct). Everything else can go on one DigiKey order except the opto board.</t>
        </is>
      </c>
    </row>
    <row r="17">
      <c r="B17" s="17" t="inlineStr">
        <is>
          <t>•  See the 'Open Items' tab for the questions that must be answered before this list is final.</t>
        </is>
      </c>
    </row>
  </sheetData>
  <mergeCells count="4">
    <mergeCell ref="B16:I16"/>
    <mergeCell ref="B14:I14"/>
    <mergeCell ref="B17:I17"/>
    <mergeCell ref="B15:I15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" customWidth="1" min="3" max="3"/>
    <col width="20" customWidth="1" min="4" max="4"/>
    <col width="15" customWidth="1" min="5" max="5"/>
    <col width="74" customWidth="1" min="6" max="6"/>
  </cols>
  <sheetData>
    <row r="1">
      <c r="A1" s="1" t="inlineStr">
        <is>
          <t>Alternates and superseded parts</t>
        </is>
      </c>
    </row>
    <row r="2">
      <c r="A2" s="2" t="inlineStr">
        <is>
          <t>Kept for traceability - none of these need to be ordered.</t>
        </is>
      </c>
    </row>
    <row r="4" ht="22" customHeight="1">
      <c r="A4" s="3" t="inlineStr">
        <is>
          <t>Part</t>
        </is>
      </c>
      <c r="B4" s="3" t="inlineStr">
        <is>
          <t>Mfr P/N</t>
        </is>
      </c>
      <c r="C4" s="3" t="inlineStr">
        <is>
          <t>Qty</t>
        </is>
      </c>
      <c r="D4" s="3" t="inlineStr">
        <is>
          <t>Status</t>
        </is>
      </c>
      <c r="E4" s="3" t="inlineStr">
        <is>
          <t>Buy Link</t>
        </is>
      </c>
      <c r="F4" s="3" t="inlineStr">
        <is>
          <t>Why</t>
        </is>
      </c>
    </row>
    <row r="5" ht="44" customHeight="1">
      <c r="A5" s="5" t="inlineStr">
        <is>
          <t>M5Stack 8Angle Unit</t>
        </is>
      </c>
      <c r="B5" s="18" t="inlineStr">
        <is>
          <t>U156</t>
        </is>
      </c>
      <c r="C5" s="7" t="n">
        <v>1</v>
      </c>
      <c r="D5" s="19" t="inlineStr">
        <is>
          <t>Alternate to item 3</t>
        </is>
      </c>
      <c r="E5" s="10" t="inlineStr">
        <is>
          <t>Product page</t>
        </is>
      </c>
      <c r="F5" s="11" t="inlineStr">
        <is>
          <t>8 potentiometers instead of encoders. Absolute knob position is visible at a glance, but there is NO per-lane button - only one master toggle. Chosen against because Sergio asked for a button on every lane. Not stocked at DigiKey.</t>
        </is>
      </c>
    </row>
    <row r="6" ht="44" customHeight="1">
      <c r="A6" s="20" t="inlineStr">
        <is>
          <t>Adafruit DRV8871 breakout</t>
        </is>
      </c>
      <c r="B6" s="21" t="inlineStr">
        <is>
          <t>3190</t>
        </is>
      </c>
      <c r="C6" s="22" t="n">
        <v>8</v>
      </c>
      <c r="D6" s="23" t="inlineStr">
        <is>
          <t>Superseded (Rev A)</t>
        </is>
      </c>
      <c r="E6" s="24" t="inlineStr">
        <is>
          <t>-</t>
        </is>
      </c>
      <c r="F6" s="25" t="inlineStr">
        <is>
          <t>Replaced by 3 stacked Motorons. Would have needed 8 boards plus a PWM expander.</t>
        </is>
      </c>
    </row>
    <row r="7" ht="44" customHeight="1">
      <c r="A7" s="20" t="inlineStr">
        <is>
          <t>PCA9685 PWM expander</t>
        </is>
      </c>
      <c r="B7" s="21" t="inlineStr">
        <is>
          <t>-</t>
        </is>
      </c>
      <c r="C7" s="22" t="n">
        <v>2</v>
      </c>
      <c r="D7" s="23" t="inlineStr">
        <is>
          <t>Superseded (Rev B)</t>
        </is>
      </c>
      <c r="E7" s="24" t="inlineStr">
        <is>
          <t>-</t>
        </is>
      </c>
      <c r="F7" s="25" t="inlineStr">
        <is>
          <t>Motorons generate their own PWM internally, so no external PWM channels are needed.</t>
        </is>
      </c>
    </row>
    <row r="8" ht="44" customHeight="1">
      <c r="A8" s="20" t="inlineStr">
        <is>
          <t>MCP23017 GPIO expander</t>
        </is>
      </c>
      <c r="B8" s="21" t="inlineStr">
        <is>
          <t>-</t>
        </is>
      </c>
      <c r="C8" s="22" t="n">
        <v>1</v>
      </c>
      <c r="D8" s="23" t="inlineStr">
        <is>
          <t>Superseded (Rev C)</t>
        </is>
      </c>
      <c r="E8" s="24" t="inlineStr">
        <is>
          <t>-</t>
        </is>
      </c>
      <c r="F8" s="25" t="inlineStr">
        <is>
          <t>The 8Encoder carries the knobs, buttons and indicators on one I2C device.</t>
        </is>
      </c>
    </row>
    <row r="9" ht="44" customHeight="1">
      <c r="A9" s="20" t="inlineStr">
        <is>
          <t>ULN2803A darlington array</t>
        </is>
      </c>
      <c r="B9" s="21" t="inlineStr">
        <is>
          <t>-</t>
        </is>
      </c>
      <c r="C9" s="22" t="n">
        <v>1</v>
      </c>
      <c r="D9" s="23" t="inlineStr">
        <is>
          <t>Superseded (Rev C)</t>
        </is>
      </c>
      <c r="E9" s="24" t="inlineStr">
        <is>
          <t>-</t>
        </is>
      </c>
      <c r="F9" s="25" t="inlineStr">
        <is>
          <t>LED drive is on the 8Encoder module.</t>
        </is>
      </c>
    </row>
    <row r="10" ht="44" customHeight="1">
      <c r="A10" s="20" t="inlineStr">
        <is>
          <t>Lit pushbutton, 16 mm 24 V</t>
        </is>
      </c>
      <c r="B10" s="21" t="inlineStr">
        <is>
          <t>-</t>
        </is>
      </c>
      <c r="C10" s="22" t="n">
        <v>8</v>
      </c>
      <c r="D10" s="23" t="inlineStr">
        <is>
          <t>Superseded (Rev C)</t>
        </is>
      </c>
      <c r="E10" s="24" t="inlineStr">
        <is>
          <t>-</t>
        </is>
      </c>
      <c r="F10" s="25" t="inlineStr">
        <is>
          <t>Replaced by the 8Encoder's per-channel press function and RGB indicators.</t>
        </is>
      </c>
    </row>
    <row r="11" ht="44" customHeight="1">
      <c r="A11" s="5" t="inlineStr">
        <is>
          <t>ESP32 DevKitC (38-pin)</t>
        </is>
      </c>
      <c r="B11" s="18" t="inlineStr">
        <is>
          <t>-</t>
        </is>
      </c>
      <c r="C11" s="7" t="n">
        <v>1</v>
      </c>
      <c r="D11" s="19" t="inlineStr">
        <is>
          <t>Fallback option</t>
        </is>
      </c>
      <c r="E11" s="26" t="inlineStr">
        <is>
          <t>-</t>
        </is>
      </c>
      <c r="F11" s="11" t="inlineStr">
        <is>
          <t>Only if lane feedback pulse rate exceeds ~10 kHz per channel. An ESP32 in Uno form factor (Wemos D1 R32) has 8 hardware pulse counters where the RA4M1 has none. Shields and wiring are unaffected by the swap.</t>
        </is>
      </c>
    </row>
  </sheetData>
  <hyperlinks>
    <hyperlink xmlns:r="http://schemas.openxmlformats.org/officeDocument/2006/relationships" ref="E5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10" customWidth="1" min="3" max="3"/>
    <col width="20" customWidth="1" min="4" max="4"/>
    <col width="62" customWidth="1" min="5" max="5"/>
  </cols>
  <sheetData>
    <row r="1">
      <c r="A1" s="1" t="inlineStr">
        <is>
          <t>Open items - close these before the list is final</t>
        </is>
      </c>
    </row>
    <row r="2">
      <c r="A2" s="2" t="inlineStr">
        <is>
          <t>Items 1-7 go to the conveyor supplier. Items 8-9 are checks on our side.</t>
        </is>
      </c>
    </row>
    <row r="4" ht="22" customHeight="1">
      <c r="A4" s="3" t="inlineStr">
        <is>
          <t>#</t>
        </is>
      </c>
      <c r="B4" s="3" t="inlineStr">
        <is>
          <t>Question / check</t>
        </is>
      </c>
      <c r="C4" s="3" t="inlineStr">
        <is>
          <t>Owner</t>
        </is>
      </c>
      <c r="D4" s="3" t="inlineStr">
        <is>
          <t>Affects</t>
        </is>
      </c>
      <c r="E4" s="3" t="inlineStr">
        <is>
          <t>Impact if the answer is bad</t>
        </is>
      </c>
    </row>
    <row r="5" ht="52" customHeight="1">
      <c r="A5" s="4" t="n">
        <v>1</v>
      </c>
      <c r="B5" s="19" t="inlineStr">
        <is>
          <t>Stall current, and running current at the rated 6 kg load. Datasheet gives only no-load (0.2 A).</t>
        </is>
      </c>
      <c r="C5" s="6" t="inlineStr">
        <is>
          <t>Supplier</t>
        </is>
      </c>
      <c r="D5" s="11" t="inlineStr">
        <is>
          <t>BOM item 2</t>
        </is>
      </c>
      <c r="E5" s="11" t="inlineStr">
        <is>
          <t>If loaded current exceeds 2.0 A the Motoron channel rating is insufficient and the driver has to change.</t>
        </is>
      </c>
    </row>
    <row r="6" ht="52" customHeight="1">
      <c r="A6" s="4" t="n">
        <v>2</v>
      </c>
      <c r="B6" s="19" t="inlineStr">
        <is>
          <t>What exactly is pin 3? Output type (open collector / push-pull / hall / photo-interrupter), voltage level, and pulses per rev or per mm of belt travel.</t>
        </is>
      </c>
      <c r="C6" s="6" t="inlineStr">
        <is>
          <t>Supplier</t>
        </is>
      </c>
      <c r="D6" s="11" t="inlineStr">
        <is>
          <t>BOM item 4, controller choice</t>
        </is>
      </c>
      <c r="E6" s="11" t="inlineStr">
        <is>
          <t>24 V level makes the opto board mandatory. 5 V logic lets it be deleted. Pulse rate above ~10 kHz/ch forces the ESP32 fallback.</t>
        </is>
      </c>
    </row>
    <row r="7" ht="52" customHeight="1">
      <c r="A7" s="4" t="n">
        <v>3</v>
      </c>
      <c r="B7" s="19" t="inlineStr">
        <is>
          <t>Acceptable PWM frequency range on pins 1 and 2.</t>
        </is>
      </c>
      <c r="C7" s="6" t="inlineStr">
        <is>
          <t>Supplier</t>
        </is>
      </c>
      <c r="D7" s="11" t="inlineStr">
        <is>
          <t>Firmware config</t>
        </is>
      </c>
      <c r="E7" s="11" t="inlineStr">
        <is>
          <t>Motoron offers 8 settings from 1 to 80 kHz, so almost any answer can be matched.</t>
        </is>
      </c>
    </row>
    <row r="8" ht="52" customHeight="1">
      <c r="A8" s="4" t="n">
        <v>4</v>
      </c>
      <c r="B8" s="19" t="inlineStr">
        <is>
          <t>Is reverse operation supported without restriction?</t>
        </is>
      </c>
      <c r="C8" s="6" t="inlineStr">
        <is>
          <t>Supplier</t>
        </is>
      </c>
      <c r="D8" s="11" t="inlineStr">
        <is>
          <t>Whole design</t>
        </is>
      </c>
      <c r="E8" s="11" t="inlineStr">
        <is>
          <t>Reverse is needed on every cycle to retract the pusher plate. A restriction here changes the mechanism, not just the electronics.</t>
        </is>
      </c>
    </row>
    <row r="9" ht="52" customHeight="1">
      <c r="A9" s="27" t="n">
        <v>5</v>
      </c>
      <c r="B9" s="28" t="inlineStr">
        <is>
          <t>Is there a built-in end-of-travel limit or home reference for the pusher plate?</t>
        </is>
      </c>
      <c r="C9" s="29" t="inlineStr">
        <is>
          <t>Supplier</t>
        </is>
      </c>
      <c r="D9" s="30" t="inlineStr">
        <is>
          <t>BOM, architecture</t>
        </is>
      </c>
      <c r="E9" s="30" t="inlineStr">
        <is>
          <t>HIGHEST RISK. If pin 3 gives no usable position reference, every lane needs its own home sensor: +8 sensors, +8 inputs, +1 connector per lane. Without either the plate hits the end stop every cycle.</t>
        </is>
      </c>
    </row>
    <row r="10" ht="52" customHeight="1">
      <c r="A10" s="4" t="n">
        <v>6</v>
      </c>
      <c r="B10" s="19" t="inlineStr">
        <is>
          <t>Mating connector part number for the 3-pin header.</t>
        </is>
      </c>
      <c r="C10" s="6" t="inlineStr">
        <is>
          <t>Supplier</t>
        </is>
      </c>
      <c r="D10" s="11" t="inlineStr">
        <is>
          <t>Sourcing</t>
        </is>
      </c>
      <c r="E10" s="11" t="inlineStr">
        <is>
          <t>Cannot order the mating connectors until this is known.</t>
        </is>
      </c>
    </row>
    <row r="11" ht="52" customHeight="1">
      <c r="A11" s="4" t="n">
        <v>7</v>
      </c>
      <c r="B11" s="19" t="inlineStr">
        <is>
          <t>Duty cycle and thermal rating for continuous operation.</t>
        </is>
      </c>
      <c r="C11" s="6" t="inlineStr">
        <is>
          <t>Supplier</t>
        </is>
      </c>
      <c r="D11" s="11" t="inlineStr">
        <is>
          <t>Test protocol</t>
        </is>
      </c>
      <c r="E11" s="11" t="inlineStr">
        <is>
          <t>Sets how long the unloading routine can run back to back.</t>
        </is>
      </c>
    </row>
    <row r="12" ht="52" customHeight="1">
      <c r="A12" s="4" t="n">
        <v>8</v>
      </c>
      <c r="B12" s="19" t="inlineStr">
        <is>
          <t>Does the 8Encoder tolerate 5 V on SDA/SCL? It is powered at 5 V but its STM32 is 3.3 V native, and the Uno R4 bus is 5 V.</t>
        </is>
      </c>
      <c r="C12" s="6" t="inlineStr">
        <is>
          <t>Us</t>
        </is>
      </c>
      <c r="D12" s="11" t="inlineStr">
        <is>
          <t>BOM item 3</t>
        </is>
      </c>
      <c r="E12" s="11" t="inlineStr">
        <is>
          <t>If not tolerant, add a bidirectional I2C level shifter (a few dollars). Do not use the Arduino Qwiic connector either way - it supplies 3.3 V and the unit needs 5 V.</t>
        </is>
      </c>
    </row>
    <row r="13" ht="52" customHeight="1">
      <c r="A13" s="4" t="n">
        <v>9</v>
      </c>
      <c r="B13" s="19" t="inlineStr">
        <is>
          <t>How many lanes run simultaneously in the unloading routine?</t>
        </is>
      </c>
      <c r="C13" s="6" t="inlineStr">
        <is>
          <t>Sergio</t>
        </is>
      </c>
      <c r="D13" s="11" t="inlineStr">
        <is>
          <t>BOM item 5, 70-lane build</t>
        </is>
      </c>
      <c r="E13" s="11" t="inlineStr">
        <is>
          <t>Does not affect this rig - LRS-200-24 covers all 8 at once. It determines the power architecture for the full 70-lane system, so worth asking 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2026-08-17T20:20:22Z</dcterms:created>
  <dcterms:modified xmlns:dcterms="http://purl.org/dc/terms/" xmlns:xsi="http://www.w3.org/2001/XMLSchema-instance" xsi:type="dcterms:W3CDTF">2026-08-17T20:20:22Z</dcterms:modified>
</cp:coreProperties>
</file>