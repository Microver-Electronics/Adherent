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7DAFA50A-7177-4F63-889D-ECEC46E27087}" xr6:coauthVersionLast="47" xr6:coauthVersionMax="47" xr10:uidLastSave="{00000000-0000-0000-0000-000000000000}"/>
  <bookViews>
    <workbookView xWindow="2340" yWindow="2340" windowWidth="38700" windowHeight="15345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Fus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H39" i="3" l="1"/>
  <c r="J39" i="3"/>
</calcChain>
</file>

<file path=xl/sharedStrings.xml><?xml version="1.0" encoding="utf-8"?>
<sst xmlns="http://schemas.openxmlformats.org/spreadsheetml/2006/main" count="507" uniqueCount="417">
  <si>
    <t>APDU / AVM electrical tables</t>
  </si>
  <si>
    <t>Adherent360 · Blackocean Technologies · companion to Electrical_System_Level_Wiring_Diagram_R16.drawio · 2026-09-10</t>
  </si>
  <si>
    <t>Sheets</t>
  </si>
  <si>
    <t>Connectors — every board-side connector with candidate MPNs (Molex Micro-Fit 3.0 standard on all PCB I/O).</t>
  </si>
  <si>
    <t>Cables — W01…W34, names WR_ADHERENT_AAA_TO_BBB_R1, cable type, ends, quantity, estimated length. Totals are formulas.</t>
  </si>
  <si>
    <t>PCBs — custom boards HW_ADHERENT_XXX_R1 (SYSCTRL, LANECTRL, LANEPANEL) with firmware names, plus off-the-shelf modules; MAINCTRL is the COTS MYIR MYD-LT527-SX board.</t>
  </si>
  <si>
    <t>Fuses — DIN fuse block schedule F1–F16.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</si>
  <si>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</si>
  <si>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</si>
  <si>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</si>
  <si>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</si>
  <si>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terminal pitch, conveyor signal type and stall current).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</si>
  <si>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</si>
  <si>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</si>
  <si>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</si>
  <si>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</si>
  <si>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</si>
  <si>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</si>
  <si>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</si>
  <si>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</si>
  <si>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</si>
  <si>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</si>
  <si>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</si>
  <si>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</si>
  <si>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</si>
  <si>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</si>
  <si>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</si>
  <si>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</si>
  <si>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</si>
  <si>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</si>
  <si>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</si>
  <si>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</si>
  <si>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</si>
  <si>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</si>
  <si>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</si>
  <si>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</si>
  <si>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</si>
  <si>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</t>
  </si>
  <si>
    <t>F1–F16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</si>
  <si>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</si>
  <si>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</si>
  <si>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</si>
  <si>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</si>
  <si>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</si>
  <si>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</si>
  <si>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</si>
  <si>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</si>
  <si>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</si>
  <si>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</si>
  <si>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W31 / W32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</si>
  <si>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</si>
  <si>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</si>
  <si>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</si>
  <si>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</si>
  <si>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</si>
  <si>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</si>
  <si>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</si>
  <si>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</si>
  <si>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</si>
  <si>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</si>
  <si>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</si>
  <si>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J45</t>
  </si>
  <si>
    <t>LANEPANEL ribbon · 7 × button in, 7 × LED out, 3.3 V, GND</t>
  </si>
  <si>
    <t>LANECTRL ×10 → LANEPANEL ×10</t>
  </si>
  <si>
    <t>Micro-Fit 3.0 16-pin dual row (both ends)</t>
  </si>
  <si>
    <t>Molex 43045-1600</t>
  </si>
  <si>
    <t>Molex 43025-1600 + 43030-0007 · 16-way harness</t>
  </si>
  <si>
    <t>SW1–7 / D1–7</t>
  </si>
  <si>
    <t>Lane power button + status LED</t>
  </si>
  <si>
    <t>LANEPANEL ×10 (front strip)</t>
  </si>
  <si>
    <t>12 mm tactile pushbutton + 5 mm LED</t>
  </si>
  <si>
    <t>Omron B3F-4055 · Kingbright WP7113ID</t>
  </si>
  <si>
    <t>– (PCB-mounted, behind lane bezel)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</si>
  <si>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</si>
  <si>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</si>
  <si>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</si>
  <si>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</si>
  <si>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 side: ferrules into its 3-pos pluggable screw terminal (pitch TBC)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</si>
  <si>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</si>
  <si>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</si>
  <si>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</si>
  <si>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</si>
  <si>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</si>
  <si>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</si>
  <si>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</si>
  <si>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</si>
  <si>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</si>
  <si>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</si>
  <si>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</si>
  <si>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</si>
  <si>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</si>
  <si>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</si>
  <si>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</si>
  <si>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</si>
  <si>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</si>
  <si>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</si>
  <si>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</si>
  <si>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</si>
  <si>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</si>
  <si>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</si>
  <si>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</si>
  <si>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</si>
  <si>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</si>
  <si>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</si>
  <si>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</si>
  <si>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</t>
  </si>
  <si>
    <t>Micro-Fit 3.0 2-pin</t>
  </si>
  <si>
    <t>Molex 43045-0200</t>
  </si>
  <si>
    <t>Molex 43025-0200 + 43030-0007 crimp</t>
  </si>
  <si>
    <t>J35–J39</t>
  </si>
  <si>
    <t>Door position sensors ×5</t>
  </si>
  <si>
    <t>Molex 43025-0200 + 43030-0007</t>
  </si>
  <si>
    <t>J41</t>
  </si>
  <si>
    <t>12 V in (F12) · logic + latch rail</t>
  </si>
  <si>
    <t>Micro-Fit 3.0 4-pin dual row (2 × 12 V, 2 × GND paralleled, 8 A)</t>
  </si>
  <si>
    <t>J46</t>
  </si>
  <si>
    <t>12 V in (F13) · on-board 5 V buck</t>
  </si>
  <si>
    <t>MAINCTRL</t>
  </si>
  <si>
    <t>MYIR-supplied 12 V power plug on the board DC input</t>
  </si>
  <si>
    <t>J42</t>
  </si>
  <si>
    <t>CAN master interface</t>
  </si>
  <si>
    <t>on-board CAN 1 of the MYD-LT527-SX (connector type TBC from board manual)</t>
  </si>
  <si>
    <t>pigtail → Micro-Fit 3.0 4-pin to bus · 120 Ω term. here</t>
  </si>
  <si>
    <t>J44</t>
  </si>
  <si>
    <t>OCR camera</t>
  </si>
  <si>
    <t>USB 3.0 Type-A → Micro-B screw-lock</t>
  </si>
  <si>
    <t>camera vendor cable, 1 m</t>
  </si>
  <si>
    <t>SWD</t>
  </si>
  <si>
    <t>Debug / programming</t>
  </si>
  <si>
    <t>LANECTRL · SYSCTRL (LANEPANEL is passive)</t>
  </si>
  <si>
    <t>ARM 10-pin 1.27 mm</t>
  </si>
  <si>
    <t>Samtec FTSH-105-01-L-DV-K</t>
  </si>
  <si>
    <t>ST-LINK 10-pin ribbon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</si>
  <si>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</si>
  <si>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</si>
  <si>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</si>
  <si>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</si>
  <si>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</si>
  <si>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</si>
  <si>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</si>
  <si>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</si>
  <si>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</si>
  <si>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</si>
  <si>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</si>
  <si>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</si>
  <si>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</si>
  <si>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</si>
  <si>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</si>
  <si>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</si>
  <si>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</si>
  <si>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</si>
  <si>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</si>
  <si>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</si>
  <si>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W33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</si>
  <si>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</si>
  <si>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</si>
  <si>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</si>
  <si>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</si>
  <si>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</si>
  <si>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</si>
  <si>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</si>
  <si>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</si>
  <si>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</si>
  <si>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</si>
  <si>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</si>
  <si>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</si>
  <si>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W34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</si>
  <si>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</si>
  <si>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</si>
  <si>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</si>
  <si>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</si>
  <si>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</si>
  <si>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</si>
  <si>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</si>
  <si>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MYIR 12 V power plug (board DC input)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</si>
  <si>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</si>
  <si>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</si>
  <si>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</si>
  <si>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</si>
  <si>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</si>
  <si>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</si>
  <si>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</si>
  <si>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→ SYSCTRL J41</t>
  </si>
  <si>
    <t>W31</t>
  </si>
  <si>
    <t>WR_ADHERENT_DIST_TO_XDRIVE_48V_R1</t>
  </si>
  <si>
    <t>F15 → X drive unit power</t>
  </si>
  <si>
    <t>2 × 16 AWG red / black, 48 V 5 A (exception)</t>
  </si>
  <si>
    <t>ferrule → drive terminal (TBC)</t>
  </si>
  <si>
    <t>W32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</si>
  <si>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</si>
  <si>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</si>
  <si>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</si>
  <si>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</si>
  <si>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</si>
  <si>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on-board CAN 1 → SYSCTRL J15</t>
  </si>
  <si>
    <t>4c 22 AWG R-B-Y-G shielded · Y = CAN_H, G = CAN_L, B = GND, R = n/c</t>
  </si>
  <si>
    <t>board CAN header (TBC)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</si>
  <si>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</si>
  <si>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</si>
  <si>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</si>
  <si>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</si>
  <si>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</si>
  <si>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</si>
  <si>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</si>
  <si>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MAINCTRL → RP-SMA bulkhead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</si>
  <si>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</si>
  <si>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</si>
  <si>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</si>
  <si>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</si>
  <si>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</si>
  <si>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</si>
  <si>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</si>
  <si>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</si>
  <si>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</si>
  <si>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</si>
  <si>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</si>
  <si>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</si>
  <si>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</si>
  <si>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</si>
  <si>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</si>
  <si>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</si>
  <si>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</si>
  <si>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</si>
  <si>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</si>
  <si>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</si>
  <si>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</si>
  <si>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</si>
  <si>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</si>
  <si>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</si>
  <si>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</si>
  <si>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</si>
  <si>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</si>
  <si>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</si>
  <si>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</si>
  <si>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</si>
  <si>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</si>
  <si>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</si>
  <si>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</si>
  <si>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</si>
  <si>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</si>
  <si>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</si>
  <si>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</si>
  <si>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</si>
  <si>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</si>
  <si>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</si>
  <si>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WR_ADHERENT_MAINCTRL_TO_CAM_R1</t>
  </si>
  <si>
    <t>MAINCTRL → OCR camera</t>
  </si>
  <si>
    <t>USB 3.0 A → Micro-B screw-lock (exception)</t>
  </si>
  <si>
    <t>moulded</t>
  </si>
  <si>
    <t>W20</t>
  </si>
  <si>
    <t>WR_ADHERENT_MAINCTRL_TO_MARKER_R1</t>
  </si>
  <si>
    <t>MAINCTRL → label marker</t>
  </si>
  <si>
    <t>USB or Cat6 (exception, TBC)</t>
  </si>
  <si>
    <t>W21</t>
  </si>
  <si>
    <t>WR_ADHERENT_SYSCTRL_TO_LATCH12_R1</t>
  </si>
  <si>
    <t>SYSCTRL J30/J31 → K1 main + K2 retrieval latch</t>
  </si>
  <si>
    <t>4c 22 AWG R-B-Y-G · R/B = K1, Y/G = K2</t>
  </si>
  <si>
    <t>Micro-Fit 4 → 2 × Micro-Fit 2</t>
  </si>
  <si>
    <t>W22</t>
  </si>
  <si>
    <t>WR_ADHERENT_SYSCTRL_TO_LATCH34_R1</t>
  </si>
  <si>
    <t>SYSCTRL J32/J33 → K3 return + K4 table latch</t>
  </si>
  <si>
    <t>4c 22 AWG R-B-Y-G · R/B = K3, Y/G = K4</t>
  </si>
  <si>
    <t>W23</t>
  </si>
  <si>
    <t>WR_ADHERENT_SYSCTRL_TO_JBDOORS_R1</t>
  </si>
  <si>
    <t>SYSCTRL J35–J39 → JB-DOORS</t>
  </si>
  <si>
    <t>2 × 4c 22 AWG R-B-Y-G · B = GND common, R/Y/G = 3 inputs each</t>
  </si>
  <si>
    <t>Micro-Fit 2 ×5 → ferrule + WAGO 221</t>
  </si>
  <si>
    <t>W24</t>
  </si>
  <si>
    <t>WR_ADHERENT_JBDOORS_TO_DOORSENSn_R1</t>
  </si>
  <si>
    <t>JB-DOORS → 5 door sensors</t>
  </si>
  <si>
    <t>4c 22 AWG R-B-Y-G (R = signal, B = GND, Y/G spare)</t>
  </si>
  <si>
    <t>ferrule + WAGO 221 → sensor</t>
  </si>
  <si>
    <t>W25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</si>
  <si>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</si>
  <si>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</si>
  <si>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</si>
  <si>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</si>
  <si>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W26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</si>
  <si>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</si>
  <si>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</si>
  <si>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</si>
  <si>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</si>
  <si>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W27</t>
  </si>
  <si>
    <t>WR_ADHERENT_LANECTRLnn_TO_LANECTRLmm_R1</t>
  </si>
  <si>
    <t>LANECTRL-10 → 09 → … → 01 (J7 → J6)</t>
  </si>
  <si>
    <t>Micro-Fit 5 ↔ Micro-Fit 5</t>
  </si>
  <si>
    <t>W28</t>
  </si>
  <si>
    <t>WR_ADHERENT_LANECTRLnn_TO_LANEm_R1</t>
  </si>
  <si>
    <t>LANECTRL J8–J14 → 7 conveyors per row</t>
  </si>
  <si>
    <t>4c 22 AWG R-B-Y-G · R = M+ (pin 1), B = M− (pin 2), Y = signal (pin 3), G = spare</t>
  </si>
  <si>
    <t>Micro-Fit 3 → ferrules into the conveyor 3-pos pluggable screw terminal (pitch TBC)</t>
  </si>
  <si>
    <t>W29</t>
  </si>
  <si>
    <t>WR_ADHERENT_LANECTRLnn_TO_LANEPANELnn_R1</t>
  </si>
  <si>
    <t>LANECTRL J45 → LANEPANEL</t>
  </si>
  <si>
    <t>4 × 4c 22 AWG R-B-Y-G loom (16 wires: 7 buttons, 7 LEDs, 3.3 V, GND)</t>
  </si>
  <si>
    <t>Micro-Fit 16 ↔ Micro-Fit 16</t>
  </si>
  <si>
    <t>W30</t>
  </si>
  <si>
    <t>WR_ADHERENT_SYSCTRL_TO_DOORACT_R1</t>
  </si>
  <si>
    <t>SYSCTRL spare → future door actuators</t>
  </si>
  <si>
    <t>4c 22 AWG R-B-Y-G (TBD with actuator set)</t>
  </si>
  <si>
    <t>Micro-Fit 2 → TBD</t>
  </si>
  <si>
    <t>Totals</t>
  </si>
  <si>
    <t>Column I = number of standard 4c 22 AWG cables in the run (0 = exception cable or sensor-supplied lead). Column J = F × G × I × 1.2 service allowance. W25 length is the average of the 10 rows (0.8 m bottom → 2.4 m top). W30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</si>
  <si>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</si>
  <si>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</si>
  <si>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</si>
  <si>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</si>
  <si>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</si>
  <si>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</si>
  <si>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</si>
  <si>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</si>
  <si>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</si>
  <si>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</si>
  <si>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</si>
  <si>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MAINCTRL · MYIR MYD-LT527-SX (MYD-LT527M-16E2D-180-E-SX)</t>
  </si>
  <si>
    <t>COTS single-board computer, ≈ USD 95</t>
  </si>
  <si>
    <t>Supervisory controller: OCR, web UI, REST vend API, job log, CAN master</t>
  </si>
  <si>
    <t>Allwinner T527 octa Cortex-A55 1.8 GHz · 2 GB LPDDR4 · 16 GB eMMC · 2 × GbE · 1 × USB 3.0 + 1 × USB 2.0 Type-A + 4 × USB 2.0 header · 2 × CAN · RS485, 2 × RS232 · Wi-Fi 802.11ac / BT 5.0 · mini-PCIe (USB) + SIM for 4G/5G · HDMI / LVDS / eDP / MIPI-DSI · 2 × MIPI-CSI · 12 V / 2 A · −20…70 °C · 140 × 100 mm</t>
  </si>
  <si>
    <t>FW_ADHERENT_MAINCTRL_R1 (Linux application; board ships with Android 13 / kernel 5.15 — Linux BSP for the -SX to be confirmed with MYIR)</t>
  </si>
  <si>
    <t>cabinet</t>
  </si>
  <si>
    <t>board DC plug (W05), CAN header (W08), RJ45 (W09), USB 3.0 (W19)</t>
  </si>
  <si>
    <t>2</t>
  </si>
  <si>
    <t>HW_ADHERENT_SYSCTRL_R1</t>
  </si>
  <si>
    <t>custom PCB, STM32</t>
  </si>
  <si>
    <t>Real-time machine board: gantry, labeling mechanism, doors</t>
  </si>
  <si>
    <t>X / Z: 2 × differential STEP/DIR/ENA line drivers (5 V, 24 V-tolerant), 2 × ALARM opto inputs, 2 × 24 V brake outputs · chuck: 1 × TMC5160 (NEMA23) + 1 × TMC2209 (NEMA11) · servo PWM + 6.8 V / 3 A buck · 7 opto inputs · 4 latch relays 12 V · 5 door inputs · spare 12 V H-bridges · stack light · temp / humidity · CAN node · 24 V + 12 V in</t>
  </si>
  <si>
    <t>FW_ADHERENT_SYSCTRL_R1</t>
  </si>
  <si>
    <t>J15, J15A, J16–J41</t>
  </si>
  <si>
    <t>3</t>
  </si>
  <si>
    <t>HW_ADHERENT_LANECTRL_R1</t>
  </si>
  <si>
    <t>custom PCB, STM32 (CAN)</t>
  </si>
  <si>
    <t>Row controller and junction box: 7 conveyor lanes</t>
  </si>
  <si>
    <t>7 × H-bridge 2 A (DRV8876 class) + SMBJ33CA TVS per output · 7 feedback inputs · 7 button inputs · 7 LED outputs · CAN in / out with 12 V pass-through · 24 V in, on-board fuse · 3.3 V regulator</t>
  </si>
  <si>
    <t>FW_ADHERENT_LANECTRL_R1 (one image, node ID by jumper / EEPROM)</t>
  </si>
  <si>
    <t>10</t>
  </si>
  <si>
    <t>rear 2" channel, one per row</t>
  </si>
  <si>
    <t>J5–J14, J45</t>
  </si>
  <si>
    <t>4</t>
  </si>
  <si>
    <t>HW_ADHERENT_LANEPANEL_R1</t>
  </si>
  <si>
    <t>custom PCB, passive</t>
  </si>
  <si>
    <t>Front strip: one power button and one LED per lane</t>
  </si>
  <si>
    <t>7 × Omron B3F-4055 tactile · 7 × 5 mm LED + series resistors · 16-way Micro-Fit</t>
  </si>
  <si>
    <t>front of each row</t>
  </si>
  <si>
    <t>J45 mate</t>
  </si>
  <si>
    <t>5</t>
  </si>
  <si>
    <t>PSU1 · Mean Well RSP-500-24</t>
  </si>
  <si>
    <t>COTS</t>
  </si>
  <si>
    <t>24 V rail: conveyors, chuck steppers</t>
  </si>
  <si>
    <t>500 W, PFC, 115 / 230 VAC</t>
  </si>
  <si>
    <t>W01, W03</t>
  </si>
  <si>
    <t>6</t>
  </si>
  <si>
    <t>PSU2 · Mean Well LRS-150-12</t>
  </si>
  <si>
    <t>12 V logic rail for all boards, latches, future door actuators</t>
  </si>
  <si>
    <t>150 W</t>
  </si>
  <si>
    <t>W02, W04</t>
  </si>
  <si>
    <t>7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</si>
  <si>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</si>
  <si>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</si>
  <si>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</si>
  <si>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W33, W34</t>
  </si>
  <si>
    <t>8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</si>
  <si>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</si>
  <si>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</si>
  <si>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</si>
  <si>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</si>
  <si>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</si>
  <si>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W31 / W32</t>
  </si>
  <si>
    <t>9</t>
  </si>
  <si>
    <t>DIN fuse terminals · Phoenix UT 4-HESI (5×20)</t>
  </si>
  <si>
    <t>24 V + 12 V + 48 V distribution F1–F16</t>
  </si>
  <si>
    <t>5 × 20 mm fuses per schedule</t>
  </si>
  <si>
    <t>16</t>
  </si>
  <si>
    <t>cabinet DIN rail</t>
  </si>
  <si>
    <t>W03–W07, W25, W31, W32</t>
  </si>
  <si>
    <t>Bottle alignment mark reading</t>
  </si>
  <si>
    <t>USB 3.0 camera + 24 V ring light (TBC)</t>
  </si>
  <si>
    <t>labeling station</t>
  </si>
  <si>
    <t>11</t>
  </si>
  <si>
    <t>Label marker</t>
  </si>
  <si>
    <t>Prints prescription text (laser marker or thermal printer — TBC)</t>
  </si>
  <si>
    <t>USB or Ethernet, own PSU</t>
  </si>
  <si>
    <t>12</t>
  </si>
  <si>
    <t>Stack light, 12 V</t>
  </si>
  <si>
    <t>Machine status</t>
  </si>
  <si>
    <t>3-colour, 12 V</t>
  </si>
  <si>
    <t>cabinet top / front</t>
  </si>
  <si>
    <t>13</t>
  </si>
  <si>
    <t>Ethernet switch, 5-port (optional)</t>
  </si>
  <si>
    <t>Only if marker / camera need Ethernet</t>
  </si>
  <si>
    <t>DIN-rail unmanaged, 12 V or 24 V</t>
  </si>
  <si>
    <t>0 / 1</t>
  </si>
  <si>
    <t>pending customer answer</t>
  </si>
  <si>
    <t>Conveyor CB002-24V-573mm (datasheet 2026-07-31): 24 VDC brushed gearmotor, ≤0.2 A no-load, 5.8 cm/s, ≤6 kg rated load, 676 × 70 × 50 mm, 3-pos screw terminal (1 +, 2 −, 3 signal). Not a PCB; listed for the LANECTRL H-bridge and fuse sizing. Stall current and signal type still to be confirmed.</t>
  </si>
  <si>
    <t>DIN fuse block schedule</t>
  </si>
  <si>
    <t>Phoenix Contact UT 4-HESI (5×20) terminals, 5 × 20 mm fuses · ratings are Rev A estimates, confirm against measured currents</t>
  </si>
  <si>
    <t>Fuse</t>
  </si>
  <si>
    <t>Rail</t>
  </si>
  <si>
    <t>Load</t>
  </si>
  <si>
    <t>Rating (A)</t>
  </si>
  <si>
    <t>F1–F10</t>
  </si>
  <si>
    <t>24 V</t>
  </si>
  <si>
    <t>LANECTRL-01…10 row feeders</t>
  </si>
  <si>
    <t>one per row, W25</t>
  </si>
  <si>
    <t>F11</t>
  </si>
  <si>
    <t>SYSCTRL chuck stepper rail</t>
  </si>
  <si>
    <t>F12</t>
  </si>
  <si>
    <t>12 V</t>
  </si>
  <si>
    <t>SYSCTRL logic + latches</t>
  </si>
  <si>
    <t>F13</t>
  </si>
  <si>
    <t>F14</t>
  </si>
  <si>
    <t>lane-bus 12 V rail (via SYSCTRL J15A)</t>
  </si>
  <si>
    <t>W26 / W27</t>
  </si>
  <si>
    <t>F15</t>
  </si>
  <si>
    <t>48 V</t>
  </si>
  <si>
    <t>X drive unit</t>
  </si>
  <si>
    <t>F16</t>
  </si>
  <si>
    <t>Z drive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</si>
</sst>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555"/>
      <name val="Arial"/>
    </font>
  </fonts>
  <fills count="4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</fills>
  <borders count="2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/>
  </sheetViews>
  <sheetFormatPr defaultRowHeight="15" x14ac:dyDescent="0.25"/>
  <cols>
    <col min="1" max="1" width="150" customWidth="1"/>
  </cols>
  <sheetData>
    <row r="1" spans="1:1" ht="18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/>
    </row>
    <row r="10" spans="1:1" x14ac:dyDescent="0.25">
      <c r="A10" s="4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customHeight="1" x14ac:dyDescent="0.25">
      <c r="A1" s="1" t="s">
        <v>13</v>
      </c>
    </row>
    <row r="2" spans="1:6" x14ac:dyDescent="0.25">
      <c r="A2" s="2" t="s">
        <v>14</v>
      </c>
    </row>
    <row r="4" spans="1:6" ht="30" customHeight="1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spans="1:6" x14ac:dyDescent="0.25">
      <c r="A5" s="6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6" t="s">
        <v>26</v>
      </c>
    </row>
    <row r="6" spans="1:6" x14ac:dyDescent="0.25">
      <c r="A6" s="6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</row>
    <row r="7" spans="1:6" ht="25.5" customHeight="1" x14ac:dyDescent="0.25">
      <c r="A7" s="6" t="s">
        <v>33</v>
      </c>
      <c r="B7" s="6" t="s">
        <v>34</v>
      </c>
      <c r="C7" s="6" t="s">
        <v>23</v>
      </c>
      <c r="D7" s="6" t="s">
        <v>35</v>
      </c>
      <c r="E7" s="6" t="s">
        <v>36</v>
      </c>
      <c r="F7" s="6" t="s">
        <v>37</v>
      </c>
    </row>
    <row r="8" spans="1:6" ht="25.5" customHeight="1" x14ac:dyDescent="0.25">
      <c r="A8" s="6" t="s">
        <v>38</v>
      </c>
      <c r="B8" s="6" t="s">
        <v>39</v>
      </c>
      <c r="C8" s="6" t="s">
        <v>40</v>
      </c>
      <c r="D8" s="6" t="s">
        <v>41</v>
      </c>
      <c r="E8" s="6" t="s">
        <v>42</v>
      </c>
      <c r="F8" s="6" t="s">
        <v>43</v>
      </c>
    </row>
    <row r="9" spans="1:6" ht="25.5" customHeight="1" x14ac:dyDescent="0.25">
      <c r="A9" s="6" t="s">
        <v>44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</row>
    <row r="10" spans="1:6" x14ac:dyDescent="0.25">
      <c r="A10" s="6" t="s">
        <v>50</v>
      </c>
      <c r="B10" s="6" t="s">
        <v>51</v>
      </c>
      <c r="C10" s="6" t="s">
        <v>52</v>
      </c>
      <c r="D10" s="6" t="s">
        <v>53</v>
      </c>
      <c r="E10" s="6" t="s">
        <v>54</v>
      </c>
      <c r="F10" s="6" t="s">
        <v>55</v>
      </c>
    </row>
    <row r="11" spans="1:6" ht="25.5" customHeight="1" x14ac:dyDescent="0.25">
      <c r="A11" s="6" t="s">
        <v>56</v>
      </c>
      <c r="B11" s="6" t="s">
        <v>57</v>
      </c>
      <c r="C11" s="6" t="s">
        <v>52</v>
      </c>
      <c r="D11" s="6" t="s">
        <v>58</v>
      </c>
      <c r="E11" s="6" t="s">
        <v>59</v>
      </c>
      <c r="F11" s="6" t="s">
        <v>60</v>
      </c>
    </row>
    <row r="12" spans="1:6" ht="25.5" customHeight="1" x14ac:dyDescent="0.25">
      <c r="A12" s="6" t="s">
        <v>61</v>
      </c>
      <c r="B12" s="6" t="s">
        <v>62</v>
      </c>
      <c r="C12" s="6" t="s">
        <v>63</v>
      </c>
      <c r="D12" s="6" t="s">
        <v>64</v>
      </c>
      <c r="E12" s="6" t="s">
        <v>65</v>
      </c>
      <c r="F12" s="6" t="s">
        <v>66</v>
      </c>
    </row>
    <row r="13" spans="1:6" ht="25.5" customHeight="1" x14ac:dyDescent="0.25">
      <c r="A13" s="6" t="s">
        <v>67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</row>
    <row r="14" spans="1:6" ht="25.5" customHeight="1" x14ac:dyDescent="0.25">
      <c r="A14" s="6" t="s">
        <v>73</v>
      </c>
      <c r="B14" s="6" t="s">
        <v>74</v>
      </c>
      <c r="C14" s="6" t="s">
        <v>52</v>
      </c>
      <c r="D14" s="6" t="s">
        <v>75</v>
      </c>
      <c r="E14" s="6" t="s">
        <v>76</v>
      </c>
      <c r="F14" s="6" t="s">
        <v>77</v>
      </c>
    </row>
    <row r="15" spans="1:6" ht="25.5" customHeight="1" x14ac:dyDescent="0.25">
      <c r="A15" s="6" t="s">
        <v>78</v>
      </c>
      <c r="B15" s="6" t="s">
        <v>79</v>
      </c>
      <c r="C15" s="6" t="s">
        <v>80</v>
      </c>
      <c r="D15" s="6" t="s">
        <v>81</v>
      </c>
      <c r="E15" s="6" t="s">
        <v>82</v>
      </c>
      <c r="F15" s="6" t="s">
        <v>83</v>
      </c>
    </row>
    <row r="16" spans="1:6" ht="25.5" customHeight="1" x14ac:dyDescent="0.25">
      <c r="A16" s="6" t="s">
        <v>84</v>
      </c>
      <c r="B16" s="6" t="s">
        <v>85</v>
      </c>
      <c r="C16" s="6" t="s">
        <v>80</v>
      </c>
      <c r="D16" s="6" t="s">
        <v>86</v>
      </c>
      <c r="E16" s="6" t="s">
        <v>87</v>
      </c>
      <c r="F16" s="6" t="s">
        <v>88</v>
      </c>
    </row>
    <row r="17" spans="1:6" x14ac:dyDescent="0.25">
      <c r="A17" s="6" t="s">
        <v>89</v>
      </c>
      <c r="B17" s="6" t="s">
        <v>90</v>
      </c>
      <c r="C17" s="6" t="s">
        <v>80</v>
      </c>
      <c r="D17" s="6" t="s">
        <v>91</v>
      </c>
      <c r="E17" s="6" t="s">
        <v>54</v>
      </c>
      <c r="F17" s="6" t="s">
        <v>55</v>
      </c>
    </row>
    <row r="18" spans="1:6" x14ac:dyDescent="0.25">
      <c r="A18" s="6" t="s">
        <v>92</v>
      </c>
      <c r="B18" s="6" t="s">
        <v>93</v>
      </c>
      <c r="C18" s="6" t="s">
        <v>94</v>
      </c>
      <c r="D18" s="6" t="s">
        <v>95</v>
      </c>
      <c r="E18" s="6" t="s">
        <v>76</v>
      </c>
      <c r="F18" s="6" t="s">
        <v>96</v>
      </c>
    </row>
    <row r="19" spans="1:6" ht="25.5" customHeight="1" x14ac:dyDescent="0.25">
      <c r="A19" s="6" t="s">
        <v>97</v>
      </c>
      <c r="B19" s="6" t="s">
        <v>98</v>
      </c>
      <c r="C19" s="6" t="s">
        <v>80</v>
      </c>
      <c r="D19" s="6" t="s">
        <v>95</v>
      </c>
      <c r="E19" s="6" t="s">
        <v>76</v>
      </c>
      <c r="F19" s="6" t="s">
        <v>99</v>
      </c>
    </row>
    <row r="20" spans="1:6" ht="25.5" customHeight="1" x14ac:dyDescent="0.25">
      <c r="A20" s="6" t="s">
        <v>100</v>
      </c>
      <c r="B20" s="6" t="s">
        <v>101</v>
      </c>
      <c r="C20" s="6" t="s">
        <v>80</v>
      </c>
      <c r="D20" s="6" t="s">
        <v>102</v>
      </c>
      <c r="E20" s="6" t="s">
        <v>54</v>
      </c>
      <c r="F20" s="6" t="s">
        <v>103</v>
      </c>
    </row>
    <row r="21" spans="1:6" x14ac:dyDescent="0.25">
      <c r="A21" s="6" t="s">
        <v>104</v>
      </c>
      <c r="B21" s="6" t="s">
        <v>105</v>
      </c>
      <c r="C21" s="6" t="s">
        <v>80</v>
      </c>
      <c r="D21" s="6" t="s">
        <v>106</v>
      </c>
      <c r="E21" s="6" t="s">
        <v>107</v>
      </c>
      <c r="F21" s="6" t="s">
        <v>108</v>
      </c>
    </row>
    <row r="22" spans="1:6" x14ac:dyDescent="0.25">
      <c r="A22" s="6" t="s">
        <v>109</v>
      </c>
      <c r="B22" s="6" t="s">
        <v>110</v>
      </c>
      <c r="C22" s="6" t="s">
        <v>80</v>
      </c>
      <c r="D22" s="6" t="s">
        <v>106</v>
      </c>
      <c r="E22" s="6" t="s">
        <v>107</v>
      </c>
      <c r="F22" s="6" t="s">
        <v>111</v>
      </c>
    </row>
    <row r="23" spans="1:6" ht="25.5" customHeight="1" x14ac:dyDescent="0.25">
      <c r="A23" s="6" t="s">
        <v>112</v>
      </c>
      <c r="B23" s="6" t="s">
        <v>113</v>
      </c>
      <c r="C23" s="6" t="s">
        <v>80</v>
      </c>
      <c r="D23" s="6" t="s">
        <v>114</v>
      </c>
      <c r="E23" s="6" t="s">
        <v>54</v>
      </c>
      <c r="F23" s="6" t="s">
        <v>103</v>
      </c>
    </row>
    <row r="24" spans="1:6" ht="25.5" customHeight="1" x14ac:dyDescent="0.25">
      <c r="A24" s="6" t="s">
        <v>115</v>
      </c>
      <c r="B24" s="6" t="s">
        <v>116</v>
      </c>
      <c r="C24" s="6" t="s">
        <v>117</v>
      </c>
      <c r="D24" s="6" t="s">
        <v>118</v>
      </c>
      <c r="E24" s="6" t="s">
        <v>107</v>
      </c>
      <c r="F24" s="6" t="s">
        <v>111</v>
      </c>
    </row>
    <row r="25" spans="1:6" ht="25.5" customHeight="1" x14ac:dyDescent="0.25">
      <c r="A25" s="6" t="s">
        <v>119</v>
      </c>
      <c r="B25" s="6" t="s">
        <v>120</v>
      </c>
      <c r="C25" s="6" t="s">
        <v>117</v>
      </c>
      <c r="D25" s="6" t="s">
        <v>121</v>
      </c>
      <c r="E25" s="6" t="s">
        <v>48</v>
      </c>
      <c r="F25" s="6" t="s">
        <v>122</v>
      </c>
    </row>
    <row r="26" spans="1:6" ht="25.5" customHeight="1" x14ac:dyDescent="0.25">
      <c r="A26" s="6" t="s">
        <v>123</v>
      </c>
      <c r="B26" s="6" t="s">
        <v>124</v>
      </c>
      <c r="C26" s="6" t="s">
        <v>117</v>
      </c>
      <c r="D26" s="6" t="s">
        <v>125</v>
      </c>
      <c r="E26" s="6" t="s">
        <v>48</v>
      </c>
      <c r="F26" s="6" t="s">
        <v>126</v>
      </c>
    </row>
    <row r="27" spans="1:6" ht="25.5" customHeight="1" x14ac:dyDescent="0.25">
      <c r="A27" s="6" t="s">
        <v>127</v>
      </c>
      <c r="B27" s="6" t="s">
        <v>128</v>
      </c>
      <c r="C27" s="6" t="s">
        <v>129</v>
      </c>
      <c r="D27" s="6" t="s">
        <v>130</v>
      </c>
      <c r="E27" s="6" t="s">
        <v>131</v>
      </c>
      <c r="F27" s="6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customHeight="1" x14ac:dyDescent="0.25">
      <c r="A1" s="1" t="s">
        <v>133</v>
      </c>
    </row>
    <row r="2" spans="1:10" x14ac:dyDescent="0.25">
      <c r="A2" s="2" t="s">
        <v>134</v>
      </c>
    </row>
    <row r="4" spans="1:10" ht="30" customHeight="1" x14ac:dyDescent="0.25">
      <c r="A4" s="5" t="s">
        <v>135</v>
      </c>
      <c r="B4" s="5" t="s">
        <v>136</v>
      </c>
      <c r="C4" s="5" t="s">
        <v>137</v>
      </c>
      <c r="D4" s="5" t="s">
        <v>138</v>
      </c>
      <c r="E4" s="5" t="s">
        <v>139</v>
      </c>
      <c r="F4" s="5" t="s">
        <v>140</v>
      </c>
      <c r="G4" s="5" t="s">
        <v>141</v>
      </c>
      <c r="H4" s="5" t="s">
        <v>142</v>
      </c>
      <c r="I4" s="5" t="s">
        <v>143</v>
      </c>
      <c r="J4" s="5" t="s">
        <v>144</v>
      </c>
    </row>
    <row r="5" spans="1:10" x14ac:dyDescent="0.25">
      <c r="A5" s="6" t="s">
        <v>145</v>
      </c>
      <c r="B5" s="6" t="s">
        <v>146</v>
      </c>
      <c r="C5" s="6" t="s">
        <v>147</v>
      </c>
      <c r="D5" s="6" t="s">
        <v>148</v>
      </c>
      <c r="E5" s="6" t="s">
        <v>149</v>
      </c>
      <c r="F5" s="7">
        <v>1</v>
      </c>
      <c r="G5" s="8">
        <v>0.4</v>
      </c>
      <c r="H5" s="9">
        <f t="shared" ref="H5:H38" si="0">F5*G5</f>
        <v>0.4</v>
      </c>
      <c r="I5" s="7">
        <v>0</v>
      </c>
      <c r="J5" s="9">
        <f t="shared" ref="J5:J38" si="1">F5*G5*I5*1.2</f>
        <v>0</v>
      </c>
    </row>
    <row r="6" spans="1:10" x14ac:dyDescent="0.25">
      <c r="A6" s="6" t="s">
        <v>150</v>
      </c>
      <c r="B6" s="6" t="s">
        <v>151</v>
      </c>
      <c r="C6" s="6" t="s">
        <v>152</v>
      </c>
      <c r="D6" s="6" t="s">
        <v>148</v>
      </c>
      <c r="E6" s="6" t="s">
        <v>149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153</v>
      </c>
      <c r="B7" s="6" t="s">
        <v>154</v>
      </c>
      <c r="C7" s="6" t="s">
        <v>155</v>
      </c>
      <c r="D7" s="6" t="s">
        <v>148</v>
      </c>
      <c r="E7" s="6" t="s">
        <v>156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157</v>
      </c>
      <c r="B8" s="6" t="s">
        <v>158</v>
      </c>
      <c r="C8" s="6" t="s">
        <v>159</v>
      </c>
      <c r="D8" s="6" t="s">
        <v>160</v>
      </c>
      <c r="E8" s="6" t="s">
        <v>161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162</v>
      </c>
      <c r="B9" s="6" t="s">
        <v>163</v>
      </c>
      <c r="C9" s="6" t="s">
        <v>164</v>
      </c>
      <c r="D9" s="6" t="s">
        <v>165</v>
      </c>
      <c r="E9" s="6" t="s">
        <v>161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166</v>
      </c>
      <c r="B10" s="6" t="s">
        <v>167</v>
      </c>
      <c r="C10" s="6" t="s">
        <v>168</v>
      </c>
      <c r="D10" s="6" t="s">
        <v>169</v>
      </c>
      <c r="E10" s="6" t="s">
        <v>161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ht="25.5" x14ac:dyDescent="0.25">
      <c r="A11" s="6" t="s">
        <v>170</v>
      </c>
      <c r="B11" s="6" t="s">
        <v>171</v>
      </c>
      <c r="C11" s="6" t="s">
        <v>172</v>
      </c>
      <c r="D11" s="6" t="s">
        <v>173</v>
      </c>
      <c r="E11" s="6" t="s">
        <v>174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175</v>
      </c>
      <c r="B12" s="6" t="s">
        <v>176</v>
      </c>
      <c r="C12" s="6" t="s">
        <v>177</v>
      </c>
      <c r="D12" s="6" t="s">
        <v>178</v>
      </c>
      <c r="E12" s="6" t="s">
        <v>179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x14ac:dyDescent="0.25">
      <c r="A13" s="6" t="s">
        <v>180</v>
      </c>
      <c r="B13" s="6" t="s">
        <v>181</v>
      </c>
      <c r="C13" s="6" t="s">
        <v>182</v>
      </c>
      <c r="D13" s="6" t="s">
        <v>173</v>
      </c>
      <c r="E13" s="6" t="s">
        <v>179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183</v>
      </c>
      <c r="B14" s="6" t="s">
        <v>184</v>
      </c>
      <c r="C14" s="6" t="s">
        <v>185</v>
      </c>
      <c r="D14" s="6" t="s">
        <v>186</v>
      </c>
      <c r="E14" s="6" t="s">
        <v>187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188</v>
      </c>
      <c r="B15" s="6" t="s">
        <v>189</v>
      </c>
      <c r="C15" s="6" t="s">
        <v>190</v>
      </c>
      <c r="D15" s="6" t="s">
        <v>191</v>
      </c>
      <c r="E15" s="6" t="s">
        <v>187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customHeight="1" x14ac:dyDescent="0.25">
      <c r="A16" s="6" t="s">
        <v>192</v>
      </c>
      <c r="B16" s="6" t="s">
        <v>193</v>
      </c>
      <c r="C16" s="6" t="s">
        <v>194</v>
      </c>
      <c r="D16" s="6" t="s">
        <v>195</v>
      </c>
      <c r="E16" s="6" t="s">
        <v>196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197</v>
      </c>
      <c r="B17" s="6" t="s">
        <v>198</v>
      </c>
      <c r="C17" s="6" t="s">
        <v>199</v>
      </c>
      <c r="D17" s="6" t="s">
        <v>200</v>
      </c>
      <c r="E17" s="6" t="s">
        <v>201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x14ac:dyDescent="0.25">
      <c r="A18" s="6" t="s">
        <v>202</v>
      </c>
      <c r="B18" s="6" t="s">
        <v>203</v>
      </c>
      <c r="C18" s="6" t="s">
        <v>204</v>
      </c>
      <c r="D18" s="6" t="s">
        <v>205</v>
      </c>
      <c r="E18" s="6" t="s">
        <v>206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customHeight="1" x14ac:dyDescent="0.25">
      <c r="A19" s="6" t="s">
        <v>207</v>
      </c>
      <c r="B19" s="6" t="s">
        <v>208</v>
      </c>
      <c r="C19" s="6" t="s">
        <v>209</v>
      </c>
      <c r="D19" s="6" t="s">
        <v>210</v>
      </c>
      <c r="E19" s="6" t="s">
        <v>211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212</v>
      </c>
      <c r="B20" s="6" t="s">
        <v>213</v>
      </c>
      <c r="C20" s="6" t="s">
        <v>214</v>
      </c>
      <c r="D20" s="6" t="s">
        <v>215</v>
      </c>
      <c r="E20" s="6" t="s">
        <v>211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customHeight="1" x14ac:dyDescent="0.25">
      <c r="A21" s="6" t="s">
        <v>216</v>
      </c>
      <c r="B21" s="6" t="s">
        <v>217</v>
      </c>
      <c r="C21" s="6" t="s">
        <v>218</v>
      </c>
      <c r="D21" s="6" t="s">
        <v>219</v>
      </c>
      <c r="E21" s="6" t="s">
        <v>220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customHeight="1" x14ac:dyDescent="0.25">
      <c r="A22" s="6" t="s">
        <v>221</v>
      </c>
      <c r="B22" s="6" t="s">
        <v>222</v>
      </c>
      <c r="C22" s="6" t="s">
        <v>223</v>
      </c>
      <c r="D22" s="6" t="s">
        <v>224</v>
      </c>
      <c r="E22" s="6" t="s">
        <v>225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customHeight="1" x14ac:dyDescent="0.25">
      <c r="A23" s="6" t="s">
        <v>226</v>
      </c>
      <c r="B23" s="6" t="s">
        <v>227</v>
      </c>
      <c r="C23" s="6" t="s">
        <v>228</v>
      </c>
      <c r="D23" s="6" t="s">
        <v>229</v>
      </c>
      <c r="E23" s="6" t="s">
        <v>230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customHeight="1" x14ac:dyDescent="0.25">
      <c r="A24" s="6" t="s">
        <v>231</v>
      </c>
      <c r="B24" s="6" t="s">
        <v>232</v>
      </c>
      <c r="C24" s="6" t="s">
        <v>233</v>
      </c>
      <c r="D24" s="6" t="s">
        <v>234</v>
      </c>
      <c r="E24" s="6" t="s">
        <v>235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customHeight="1" x14ac:dyDescent="0.25">
      <c r="A25" s="6" t="s">
        <v>236</v>
      </c>
      <c r="B25" s="6" t="s">
        <v>237</v>
      </c>
      <c r="C25" s="6" t="s">
        <v>238</v>
      </c>
      <c r="D25" s="6" t="s">
        <v>234</v>
      </c>
      <c r="E25" s="6" t="s">
        <v>235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customHeight="1" x14ac:dyDescent="0.25">
      <c r="A26" s="6" t="s">
        <v>239</v>
      </c>
      <c r="B26" s="6" t="s">
        <v>240</v>
      </c>
      <c r="C26" s="6" t="s">
        <v>241</v>
      </c>
      <c r="D26" s="6" t="s">
        <v>242</v>
      </c>
      <c r="E26" s="6" t="s">
        <v>243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244</v>
      </c>
      <c r="B27" s="6" t="s">
        <v>245</v>
      </c>
      <c r="C27" s="6" t="s">
        <v>246</v>
      </c>
      <c r="D27" s="6" t="s">
        <v>247</v>
      </c>
      <c r="E27" s="6" t="s">
        <v>248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x14ac:dyDescent="0.25">
      <c r="A28" s="6" t="s">
        <v>249</v>
      </c>
      <c r="B28" s="6" t="s">
        <v>250</v>
      </c>
      <c r="C28" s="6" t="s">
        <v>251</v>
      </c>
      <c r="D28" s="6" t="s">
        <v>252</v>
      </c>
      <c r="E28" s="6" t="s">
        <v>248</v>
      </c>
      <c r="F28" s="7">
        <v>1</v>
      </c>
      <c r="G28" s="8">
        <v>1.5</v>
      </c>
      <c r="H28" s="9">
        <f t="shared" si="0"/>
        <v>1.5</v>
      </c>
      <c r="I28" s="7">
        <v>0</v>
      </c>
      <c r="J28" s="9">
        <f t="shared" si="1"/>
        <v>0</v>
      </c>
    </row>
    <row r="29" spans="1:10" ht="25.5" customHeight="1" x14ac:dyDescent="0.25">
      <c r="A29" s="6" t="s">
        <v>253</v>
      </c>
      <c r="B29" s="6" t="s">
        <v>254</v>
      </c>
      <c r="C29" s="6" t="s">
        <v>255</v>
      </c>
      <c r="D29" s="6" t="s">
        <v>256</v>
      </c>
      <c r="E29" s="6" t="s">
        <v>257</v>
      </c>
      <c r="F29" s="7">
        <v>1</v>
      </c>
      <c r="G29" s="8">
        <v>1.8</v>
      </c>
      <c r="H29" s="9">
        <f t="shared" si="0"/>
        <v>1.8</v>
      </c>
      <c r="I29" s="7">
        <v>1</v>
      </c>
      <c r="J29" s="9">
        <f t="shared" si="1"/>
        <v>2.16</v>
      </c>
    </row>
    <row r="30" spans="1:10" ht="25.5" customHeight="1" x14ac:dyDescent="0.25">
      <c r="A30" s="6" t="s">
        <v>258</v>
      </c>
      <c r="B30" s="6" t="s">
        <v>259</v>
      </c>
      <c r="C30" s="6" t="s">
        <v>260</v>
      </c>
      <c r="D30" s="6" t="s">
        <v>261</v>
      </c>
      <c r="E30" s="6" t="s">
        <v>257</v>
      </c>
      <c r="F30" s="7">
        <v>1</v>
      </c>
      <c r="G30" s="8">
        <v>1.5</v>
      </c>
      <c r="H30" s="9">
        <f t="shared" si="0"/>
        <v>1.5</v>
      </c>
      <c r="I30" s="7">
        <v>1</v>
      </c>
      <c r="J30" s="9">
        <f t="shared" si="1"/>
        <v>1.7999999999999998</v>
      </c>
    </row>
    <row r="31" spans="1:10" ht="25.5" customHeight="1" x14ac:dyDescent="0.25">
      <c r="A31" s="6" t="s">
        <v>262</v>
      </c>
      <c r="B31" s="6" t="s">
        <v>263</v>
      </c>
      <c r="C31" s="6" t="s">
        <v>264</v>
      </c>
      <c r="D31" s="6" t="s">
        <v>265</v>
      </c>
      <c r="E31" s="6" t="s">
        <v>266</v>
      </c>
      <c r="F31" s="7">
        <v>1</v>
      </c>
      <c r="G31" s="8">
        <v>1.2</v>
      </c>
      <c r="H31" s="9">
        <f t="shared" si="0"/>
        <v>1.2</v>
      </c>
      <c r="I31" s="7">
        <v>2</v>
      </c>
      <c r="J31" s="9">
        <f t="shared" si="1"/>
        <v>2.88</v>
      </c>
    </row>
    <row r="32" spans="1:10" ht="25.5" customHeight="1" x14ac:dyDescent="0.25">
      <c r="A32" s="6" t="s">
        <v>267</v>
      </c>
      <c r="B32" s="6" t="s">
        <v>268</v>
      </c>
      <c r="C32" s="6" t="s">
        <v>269</v>
      </c>
      <c r="D32" s="6" t="s">
        <v>270</v>
      </c>
      <c r="E32" s="6" t="s">
        <v>271</v>
      </c>
      <c r="F32" s="7">
        <v>5</v>
      </c>
      <c r="G32" s="8">
        <v>1</v>
      </c>
      <c r="H32" s="9">
        <f t="shared" si="0"/>
        <v>5</v>
      </c>
      <c r="I32" s="7">
        <v>1</v>
      </c>
      <c r="J32" s="9">
        <f t="shared" si="1"/>
        <v>6</v>
      </c>
    </row>
    <row r="33" spans="1:10" ht="25.5" customHeight="1" x14ac:dyDescent="0.25">
      <c r="A33" s="6" t="s">
        <v>272</v>
      </c>
      <c r="B33" s="6" t="s">
        <v>273</v>
      </c>
      <c r="C33" s="6" t="s">
        <v>274</v>
      </c>
      <c r="D33" s="6" t="s">
        <v>275</v>
      </c>
      <c r="E33" s="6" t="s">
        <v>276</v>
      </c>
      <c r="F33" s="7">
        <v>10</v>
      </c>
      <c r="G33" s="8">
        <v>1.6</v>
      </c>
      <c r="H33" s="9">
        <f t="shared" si="0"/>
        <v>16</v>
      </c>
      <c r="I33" s="7">
        <v>1</v>
      </c>
      <c r="J33" s="9">
        <f t="shared" si="1"/>
        <v>19.2</v>
      </c>
    </row>
    <row r="34" spans="1:10" ht="25.5" customHeight="1" x14ac:dyDescent="0.25">
      <c r="A34" s="6" t="s">
        <v>277</v>
      </c>
      <c r="B34" s="6" t="s">
        <v>278</v>
      </c>
      <c r="C34" s="6" t="s">
        <v>279</v>
      </c>
      <c r="D34" s="6" t="s">
        <v>280</v>
      </c>
      <c r="E34" s="6" t="s">
        <v>281</v>
      </c>
      <c r="F34" s="7">
        <v>1</v>
      </c>
      <c r="G34" s="8">
        <v>0.9</v>
      </c>
      <c r="H34" s="9">
        <f t="shared" si="0"/>
        <v>0.9</v>
      </c>
      <c r="I34" s="7">
        <v>1</v>
      </c>
      <c r="J34" s="9">
        <f t="shared" si="1"/>
        <v>1.08</v>
      </c>
    </row>
    <row r="35" spans="1:10" ht="25.5" customHeight="1" x14ac:dyDescent="0.25">
      <c r="A35" s="6" t="s">
        <v>282</v>
      </c>
      <c r="B35" s="6" t="s">
        <v>283</v>
      </c>
      <c r="C35" s="6" t="s">
        <v>284</v>
      </c>
      <c r="D35" s="6" t="s">
        <v>280</v>
      </c>
      <c r="E35" s="6" t="s">
        <v>285</v>
      </c>
      <c r="F35" s="7">
        <v>9</v>
      </c>
      <c r="G35" s="8">
        <v>0.3</v>
      </c>
      <c r="H35" s="9">
        <f t="shared" si="0"/>
        <v>2.6999999999999997</v>
      </c>
      <c r="I35" s="7">
        <v>1</v>
      </c>
      <c r="J35" s="9">
        <f t="shared" si="1"/>
        <v>3.2399999999999998</v>
      </c>
    </row>
    <row r="36" spans="1:10" ht="25.5" customHeight="1" x14ac:dyDescent="0.25">
      <c r="A36" s="6" t="s">
        <v>286</v>
      </c>
      <c r="B36" s="6" t="s">
        <v>287</v>
      </c>
      <c r="C36" s="6" t="s">
        <v>288</v>
      </c>
      <c r="D36" s="6" t="s">
        <v>289</v>
      </c>
      <c r="E36" s="6" t="s">
        <v>290</v>
      </c>
      <c r="F36" s="7">
        <v>70</v>
      </c>
      <c r="G36" s="8">
        <v>0.5</v>
      </c>
      <c r="H36" s="9">
        <f t="shared" si="0"/>
        <v>35</v>
      </c>
      <c r="I36" s="7">
        <v>1</v>
      </c>
      <c r="J36" s="9">
        <f t="shared" si="1"/>
        <v>42</v>
      </c>
    </row>
    <row r="37" spans="1:10" ht="25.5" customHeight="1" x14ac:dyDescent="0.25">
      <c r="A37" s="6" t="s">
        <v>291</v>
      </c>
      <c r="B37" s="6" t="s">
        <v>292</v>
      </c>
      <c r="C37" s="6" t="s">
        <v>293</v>
      </c>
      <c r="D37" s="6" t="s">
        <v>294</v>
      </c>
      <c r="E37" s="6" t="s">
        <v>295</v>
      </c>
      <c r="F37" s="7">
        <v>10</v>
      </c>
      <c r="G37" s="8">
        <v>0.9</v>
      </c>
      <c r="H37" s="9">
        <f t="shared" si="0"/>
        <v>9</v>
      </c>
      <c r="I37" s="7">
        <v>4</v>
      </c>
      <c r="J37" s="9">
        <f t="shared" si="1"/>
        <v>43.199999999999996</v>
      </c>
    </row>
    <row r="38" spans="1:10" ht="25.5" customHeight="1" x14ac:dyDescent="0.25">
      <c r="A38" s="6" t="s">
        <v>296</v>
      </c>
      <c r="B38" s="6" t="s">
        <v>297</v>
      </c>
      <c r="C38" s="6" t="s">
        <v>298</v>
      </c>
      <c r="D38" s="6" t="s">
        <v>299</v>
      </c>
      <c r="E38" s="6" t="s">
        <v>300</v>
      </c>
      <c r="F38" s="7">
        <v>0</v>
      </c>
      <c r="G38" s="8">
        <v>0</v>
      </c>
      <c r="H38" s="9">
        <f t="shared" si="0"/>
        <v>0</v>
      </c>
      <c r="I38" s="7">
        <v>1</v>
      </c>
      <c r="J38" s="9">
        <f t="shared" si="1"/>
        <v>0</v>
      </c>
    </row>
    <row r="39" spans="1:10" x14ac:dyDescent="0.25">
      <c r="A39" s="10"/>
      <c r="B39" s="11" t="s">
        <v>301</v>
      </c>
      <c r="C39" s="10"/>
      <c r="D39" s="10"/>
      <c r="E39" s="10"/>
      <c r="F39" s="11">
        <f>SUM(F5:F38)</f>
        <v>138</v>
      </c>
      <c r="G39" s="10"/>
      <c r="H39" s="12">
        <f>SUM(H5:H38)</f>
        <v>104.9</v>
      </c>
      <c r="I39" s="10"/>
      <c r="J39" s="12">
        <f>SUM(J5:J38)</f>
        <v>153.23999999999998</v>
      </c>
    </row>
    <row r="41" spans="1:10" x14ac:dyDescent="0.25">
      <c r="A41" s="2" t="s">
        <v>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customHeight="1" x14ac:dyDescent="0.25">
      <c r="A1" s="1" t="s">
        <v>303</v>
      </c>
    </row>
    <row r="2" spans="1:9" x14ac:dyDescent="0.25">
      <c r="A2" s="2" t="s">
        <v>304</v>
      </c>
    </row>
    <row r="4" spans="1:9" ht="30" customHeight="1" x14ac:dyDescent="0.25">
      <c r="A4" s="5" t="s">
        <v>305</v>
      </c>
      <c r="B4" s="5" t="s">
        <v>306</v>
      </c>
      <c r="C4" s="5" t="s">
        <v>307</v>
      </c>
      <c r="D4" s="5" t="s">
        <v>308</v>
      </c>
      <c r="E4" s="5" t="s">
        <v>309</v>
      </c>
      <c r="F4" s="5" t="s">
        <v>310</v>
      </c>
      <c r="G4" s="5" t="s">
        <v>140</v>
      </c>
      <c r="H4" s="5" t="s">
        <v>311</v>
      </c>
      <c r="I4" s="5" t="s">
        <v>312</v>
      </c>
    </row>
    <row r="5" spans="1:9" ht="38.25" customHeight="1" x14ac:dyDescent="0.25">
      <c r="A5" s="6" t="s">
        <v>313</v>
      </c>
      <c r="B5" s="6" t="s">
        <v>314</v>
      </c>
      <c r="C5" s="6" t="s">
        <v>315</v>
      </c>
      <c r="D5" s="6" t="s">
        <v>316</v>
      </c>
      <c r="E5" s="6" t="s">
        <v>317</v>
      </c>
      <c r="F5" s="6" t="s">
        <v>318</v>
      </c>
      <c r="G5" s="6" t="s">
        <v>313</v>
      </c>
      <c r="H5" s="6" t="s">
        <v>319</v>
      </c>
      <c r="I5" s="6" t="s">
        <v>320</v>
      </c>
    </row>
    <row r="6" spans="1:9" ht="63.75" customHeight="1" x14ac:dyDescent="0.25">
      <c r="A6" s="6" t="s">
        <v>321</v>
      </c>
      <c r="B6" s="6" t="s">
        <v>322</v>
      </c>
      <c r="C6" s="6" t="s">
        <v>323</v>
      </c>
      <c r="D6" s="6" t="s">
        <v>324</v>
      </c>
      <c r="E6" s="6" t="s">
        <v>325</v>
      </c>
      <c r="F6" s="6" t="s">
        <v>326</v>
      </c>
      <c r="G6" s="6" t="s">
        <v>313</v>
      </c>
      <c r="H6" s="6" t="s">
        <v>319</v>
      </c>
      <c r="I6" s="6" t="s">
        <v>327</v>
      </c>
    </row>
    <row r="7" spans="1:9" ht="38.25" customHeight="1" x14ac:dyDescent="0.25">
      <c r="A7" s="6" t="s">
        <v>328</v>
      </c>
      <c r="B7" s="6" t="s">
        <v>329</v>
      </c>
      <c r="C7" s="6" t="s">
        <v>330</v>
      </c>
      <c r="D7" s="6" t="s">
        <v>331</v>
      </c>
      <c r="E7" s="6" t="s">
        <v>332</v>
      </c>
      <c r="F7" s="6" t="s">
        <v>333</v>
      </c>
      <c r="G7" s="6" t="s">
        <v>334</v>
      </c>
      <c r="H7" s="6" t="s">
        <v>335</v>
      </c>
      <c r="I7" s="6" t="s">
        <v>336</v>
      </c>
    </row>
    <row r="8" spans="1:9" ht="25.5" customHeight="1" x14ac:dyDescent="0.25">
      <c r="A8" s="6" t="s">
        <v>337</v>
      </c>
      <c r="B8" s="6" t="s">
        <v>338</v>
      </c>
      <c r="C8" s="6" t="s">
        <v>339</v>
      </c>
      <c r="D8" s="6" t="s">
        <v>340</v>
      </c>
      <c r="E8" s="6" t="s">
        <v>341</v>
      </c>
      <c r="F8" s="6" t="s">
        <v>48</v>
      </c>
      <c r="G8" s="6" t="s">
        <v>334</v>
      </c>
      <c r="H8" s="6" t="s">
        <v>342</v>
      </c>
      <c r="I8" s="6" t="s">
        <v>343</v>
      </c>
    </row>
    <row r="9" spans="1:9" x14ac:dyDescent="0.25">
      <c r="A9" s="6" t="s">
        <v>344</v>
      </c>
      <c r="B9" s="6" t="s">
        <v>345</v>
      </c>
      <c r="C9" s="6" t="s">
        <v>346</v>
      </c>
      <c r="D9" s="6" t="s">
        <v>347</v>
      </c>
      <c r="E9" s="6" t="s">
        <v>348</v>
      </c>
      <c r="F9" s="6" t="s">
        <v>48</v>
      </c>
      <c r="G9" s="6" t="s">
        <v>313</v>
      </c>
      <c r="H9" s="6" t="s">
        <v>319</v>
      </c>
      <c r="I9" s="6" t="s">
        <v>349</v>
      </c>
    </row>
    <row r="10" spans="1:9" ht="25.5" customHeight="1" x14ac:dyDescent="0.25">
      <c r="A10" s="6" t="s">
        <v>350</v>
      </c>
      <c r="B10" s="6" t="s">
        <v>351</v>
      </c>
      <c r="C10" s="6" t="s">
        <v>346</v>
      </c>
      <c r="D10" s="6" t="s">
        <v>352</v>
      </c>
      <c r="E10" s="6" t="s">
        <v>353</v>
      </c>
      <c r="F10" s="6" t="s">
        <v>48</v>
      </c>
      <c r="G10" s="6" t="s">
        <v>313</v>
      </c>
      <c r="H10" s="6" t="s">
        <v>319</v>
      </c>
      <c r="I10" s="6" t="s">
        <v>354</v>
      </c>
    </row>
    <row r="11" spans="1:9" ht="25.5" customHeight="1" x14ac:dyDescent="0.25">
      <c r="A11" s="6" t="s">
        <v>355</v>
      </c>
      <c r="B11" s="6" t="s">
        <v>356</v>
      </c>
      <c r="C11" s="6" t="s">
        <v>346</v>
      </c>
      <c r="D11" s="6" t="s">
        <v>357</v>
      </c>
      <c r="E11" s="6" t="s">
        <v>358</v>
      </c>
      <c r="F11" s="6" t="s">
        <v>48</v>
      </c>
      <c r="G11" s="6" t="s">
        <v>313</v>
      </c>
      <c r="H11" s="6" t="s">
        <v>319</v>
      </c>
      <c r="I11" s="6" t="s">
        <v>359</v>
      </c>
    </row>
    <row r="12" spans="1:9" ht="25.5" customHeight="1" x14ac:dyDescent="0.25">
      <c r="A12" s="6" t="s">
        <v>360</v>
      </c>
      <c r="B12" s="6" t="s">
        <v>361</v>
      </c>
      <c r="C12" s="6" t="s">
        <v>362</v>
      </c>
      <c r="D12" s="6" t="s">
        <v>363</v>
      </c>
      <c r="E12" s="6" t="s">
        <v>364</v>
      </c>
      <c r="F12" s="6" t="s">
        <v>48</v>
      </c>
      <c r="G12" s="6" t="s">
        <v>321</v>
      </c>
      <c r="H12" s="6" t="s">
        <v>365</v>
      </c>
      <c r="I12" s="6" t="s">
        <v>366</v>
      </c>
    </row>
    <row r="13" spans="1:9" ht="25.5" customHeight="1" x14ac:dyDescent="0.25">
      <c r="A13" s="6" t="s">
        <v>367</v>
      </c>
      <c r="B13" s="6" t="s">
        <v>368</v>
      </c>
      <c r="C13" s="6" t="s">
        <v>346</v>
      </c>
      <c r="D13" s="6" t="s">
        <v>369</v>
      </c>
      <c r="E13" s="6" t="s">
        <v>370</v>
      </c>
      <c r="F13" s="6" t="s">
        <v>48</v>
      </c>
      <c r="G13" s="6" t="s">
        <v>371</v>
      </c>
      <c r="H13" s="6" t="s">
        <v>372</v>
      </c>
      <c r="I13" s="6" t="s">
        <v>373</v>
      </c>
    </row>
    <row r="14" spans="1:9" x14ac:dyDescent="0.25">
      <c r="A14" s="6" t="s">
        <v>334</v>
      </c>
      <c r="B14" s="6" t="s">
        <v>124</v>
      </c>
      <c r="C14" s="6" t="s">
        <v>346</v>
      </c>
      <c r="D14" s="6" t="s">
        <v>374</v>
      </c>
      <c r="E14" s="6" t="s">
        <v>375</v>
      </c>
      <c r="F14" s="6" t="s">
        <v>48</v>
      </c>
      <c r="G14" s="6" t="s">
        <v>313</v>
      </c>
      <c r="H14" s="6" t="s">
        <v>376</v>
      </c>
      <c r="I14" s="6" t="s">
        <v>244</v>
      </c>
    </row>
    <row r="15" spans="1:9" ht="25.5" x14ac:dyDescent="0.25">
      <c r="A15" s="6" t="s">
        <v>377</v>
      </c>
      <c r="B15" s="6" t="s">
        <v>378</v>
      </c>
      <c r="C15" s="6" t="s">
        <v>346</v>
      </c>
      <c r="D15" s="6" t="s">
        <v>379</v>
      </c>
      <c r="E15" s="6" t="s">
        <v>380</v>
      </c>
      <c r="F15" s="6" t="s">
        <v>48</v>
      </c>
      <c r="G15" s="6" t="s">
        <v>313</v>
      </c>
      <c r="H15" s="6" t="s">
        <v>376</v>
      </c>
      <c r="I15" s="6" t="s">
        <v>249</v>
      </c>
    </row>
    <row r="16" spans="1:9" ht="25.5" customHeight="1" x14ac:dyDescent="0.25">
      <c r="A16" s="6" t="s">
        <v>381</v>
      </c>
      <c r="B16" s="6" t="s">
        <v>382</v>
      </c>
      <c r="C16" s="6" t="s">
        <v>346</v>
      </c>
      <c r="D16" s="6" t="s">
        <v>383</v>
      </c>
      <c r="E16" s="6" t="s">
        <v>384</v>
      </c>
      <c r="F16" s="6" t="s">
        <v>48</v>
      </c>
      <c r="G16" s="6" t="s">
        <v>313</v>
      </c>
      <c r="H16" s="6" t="s">
        <v>385</v>
      </c>
      <c r="I16" s="6" t="s">
        <v>80</v>
      </c>
    </row>
    <row r="17" spans="1:9" x14ac:dyDescent="0.25">
      <c r="A17" s="6" t="s">
        <v>386</v>
      </c>
      <c r="B17" s="6" t="s">
        <v>387</v>
      </c>
      <c r="C17" s="6" t="s">
        <v>346</v>
      </c>
      <c r="D17" s="6" t="s">
        <v>388</v>
      </c>
      <c r="E17" s="6" t="s">
        <v>389</v>
      </c>
      <c r="F17" s="6" t="s">
        <v>48</v>
      </c>
      <c r="G17" s="6" t="s">
        <v>390</v>
      </c>
      <c r="H17" s="6" t="s">
        <v>319</v>
      </c>
      <c r="I17" s="6" t="s">
        <v>391</v>
      </c>
    </row>
    <row r="19" spans="1:9" x14ac:dyDescent="0.25">
      <c r="A19" s="13" t="s">
        <v>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customHeight="1" x14ac:dyDescent="0.25">
      <c r="A1" s="1" t="s">
        <v>393</v>
      </c>
    </row>
    <row r="2" spans="1:5" x14ac:dyDescent="0.25">
      <c r="A2" s="2" t="s">
        <v>394</v>
      </c>
    </row>
    <row r="4" spans="1:5" ht="30" customHeight="1" x14ac:dyDescent="0.25">
      <c r="A4" s="5" t="s">
        <v>395</v>
      </c>
      <c r="B4" s="5" t="s">
        <v>396</v>
      </c>
      <c r="C4" s="5" t="s">
        <v>397</v>
      </c>
      <c r="D4" s="5" t="s">
        <v>398</v>
      </c>
      <c r="E4" s="5" t="s">
        <v>138</v>
      </c>
    </row>
    <row r="5" spans="1:5" x14ac:dyDescent="0.25">
      <c r="A5" s="6" t="s">
        <v>399</v>
      </c>
      <c r="B5" s="6" t="s">
        <v>400</v>
      </c>
      <c r="C5" s="6" t="s">
        <v>401</v>
      </c>
      <c r="D5" s="6">
        <v>5</v>
      </c>
      <c r="E5" s="6" t="s">
        <v>402</v>
      </c>
    </row>
    <row r="6" spans="1:5" x14ac:dyDescent="0.25">
      <c r="A6" s="6" t="s">
        <v>403</v>
      </c>
      <c r="B6" s="6" t="s">
        <v>400</v>
      </c>
      <c r="C6" s="6" t="s">
        <v>404</v>
      </c>
      <c r="D6" s="6">
        <v>6</v>
      </c>
      <c r="E6" s="6" t="s">
        <v>175</v>
      </c>
    </row>
    <row r="7" spans="1:5" x14ac:dyDescent="0.25">
      <c r="A7" s="6" t="s">
        <v>405</v>
      </c>
      <c r="B7" s="6" t="s">
        <v>406</v>
      </c>
      <c r="C7" s="6" t="s">
        <v>407</v>
      </c>
      <c r="D7" s="6">
        <v>8</v>
      </c>
      <c r="E7" s="6" t="s">
        <v>180</v>
      </c>
    </row>
    <row r="8" spans="1:5" x14ac:dyDescent="0.25">
      <c r="A8" s="6" t="s">
        <v>408</v>
      </c>
      <c r="B8" s="6" t="s">
        <v>406</v>
      </c>
      <c r="C8" s="6" t="s">
        <v>117</v>
      </c>
      <c r="D8" s="6">
        <v>3</v>
      </c>
      <c r="E8" s="6" t="s">
        <v>170</v>
      </c>
    </row>
    <row r="9" spans="1:5" x14ac:dyDescent="0.25">
      <c r="A9" s="6" t="s">
        <v>409</v>
      </c>
      <c r="B9" s="6" t="s">
        <v>406</v>
      </c>
      <c r="C9" s="6" t="s">
        <v>410</v>
      </c>
      <c r="D9" s="6">
        <v>3</v>
      </c>
      <c r="E9" s="6" t="s">
        <v>411</v>
      </c>
    </row>
    <row r="10" spans="1:5" x14ac:dyDescent="0.25">
      <c r="A10" s="6" t="s">
        <v>412</v>
      </c>
      <c r="B10" s="6" t="s">
        <v>413</v>
      </c>
      <c r="C10" s="6" t="s">
        <v>414</v>
      </c>
      <c r="D10" s="6">
        <v>5</v>
      </c>
      <c r="E10" s="6" t="s">
        <v>183</v>
      </c>
    </row>
    <row r="11" spans="1:5" x14ac:dyDescent="0.25">
      <c r="A11" s="6" t="s">
        <v>415</v>
      </c>
      <c r="B11" s="6" t="s">
        <v>413</v>
      </c>
      <c r="C11" s="6" t="s">
        <v>416</v>
      </c>
      <c r="D11" s="6">
        <v>5</v>
      </c>
      <c r="E11" s="6" t="s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Connectors</vt:lpstr>
      <vt:lpstr>Cables</vt:lpstr>
      <vt:lpstr>PCBs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2026-09-11T13:40:36Z</dcterms:modified>
</cp:coreProperties>
</file>