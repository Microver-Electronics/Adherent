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97E50E16-0FE2-484C-A419-DDB7E296E75C}" xr6:coauthVersionLast="47" xr6:coauthVersionMax="47" xr10:uidLastSave="{00000000-0000-0000-0000-000000000000}"/>
  <bookViews>
    <workbookView xWindow="2340" yWindow="2340" windowWidth="38700" windowHeight="1534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Fu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/>
  <c r="J40" i="3"/>
  <c r="H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41" i="3" l="1"/>
  <c r="H41" i="3"/>
</calcChain>
</file>

<file path=xl/sharedStrings.xml><?xml version="1.0" encoding="utf-8"?>
<sst xmlns="http://schemas.openxmlformats.org/spreadsheetml/2006/main" count="536" uniqueCount="442">
  <si>
    <t>APDU / AVM electrical tables</t>
  </si>
  <si>
    <t>Adherent360 · Blackocean Technologies · companion to Electrical_System_Level_Wiring_Diagram_R18.drawio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</si>
  <si>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</si>
  <si>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</si>
  <si>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</si>
  <si>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LANECTRL, LANEPANEL) with firmware names, plus off-the-shelf modules; MAINCTRL is the COTS MYIR MYD-LT527-SX board; DOORIO (door relays and sensors) is the COTS Waveshare ESP32-S3-ETH-8DI-8RO on RS485.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</si>
  <si>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</si>
  <si>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</si>
  <si>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</si>
  <si>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</si>
  <si>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</si>
  <si>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</si>
  <si>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</si>
  <si>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</si>
  <si>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</si>
  <si>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</si>
  <si>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</si>
  <si>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</si>
  <si>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</si>
  <si>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</si>
  <si>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</si>
  <si>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</si>
  <si>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</si>
  <si>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</si>
  <si>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</si>
  <si>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</si>
  <si>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</si>
  <si>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</si>
  <si>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</si>
  <si>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</si>
  <si>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</si>
  <si>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</si>
  <si>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</si>
  <si>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</si>
  <si>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</si>
  <si>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</si>
  <si>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</si>
  <si>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</si>
  <si>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</si>
  <si>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</si>
  <si>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</si>
  <si>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</si>
  <si>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</si>
  <si>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</si>
  <si>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</si>
  <si>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</si>
  <si>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</si>
  <si>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</si>
  <si>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</si>
  <si>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</si>
  <si>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</si>
  <si>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</si>
  <si>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</si>
  <si>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</si>
  <si>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</si>
  <si>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</si>
  <si>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</si>
  <si>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</si>
  <si>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</si>
  <si>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</si>
  <si>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</si>
  <si>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</si>
  <si>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</si>
  <si>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</si>
  <si>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</si>
  <si>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</si>
  <si>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</si>
  <si>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</si>
  <si>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</si>
  <si>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</si>
  <si>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</si>
  <si>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</si>
  <si>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</si>
  <si>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</si>
  <si>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</si>
  <si>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</si>
  <si>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</si>
  <si>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</si>
  <si>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</si>
  <si>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</si>
  <si>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</si>
  <si>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</si>
  <si>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</si>
  <si>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</si>
  <si>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</si>
  <si>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</si>
  <si>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</si>
  <si>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</si>
  <si>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</si>
  <si>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</si>
  <si>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</si>
  <si>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</si>
  <si>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</si>
  <si>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</si>
  <si>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</si>
  <si>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</si>
  <si>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</si>
  <si>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</si>
  <si>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</si>
  <si>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</si>
  <si>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</si>
  <si>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</si>
  <si>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</si>
  <si>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</si>
  <si>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</si>
  <si>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</si>
  <si>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</si>
  <si>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</si>
  <si>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</si>
  <si>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</si>
  <si>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</si>
  <si>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</si>
  <si>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</si>
  <si>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</si>
  <si>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</si>
  <si>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</si>
  <si>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</si>
  <si>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</si>
  <si>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</si>
  <si>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</si>
  <si>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</si>
  <si>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</si>
  <si>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</si>
  <si>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</si>
  <si>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</si>
  <si>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</si>
  <si>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</si>
  <si>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</si>
  <si>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</si>
  <si>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</si>
  <si>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</si>
  <si>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</si>
  <si>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</si>
  <si>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</si>
  <si>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</si>
  <si>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</si>
  <si>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J49</t>
  </si>
  <si>
    <t>RS485 in (Modbus RTU from MAINCTRL) + 12 V in</t>
  </si>
  <si>
    <t>W35, W36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</si>
  <si>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</si>
  <si>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</si>
  <si>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</si>
  <si>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</si>
  <si>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</si>
  <si>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</si>
  <si>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</si>
  <si>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</si>
  <si>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</si>
  <si>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</si>
  <si>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</si>
  <si>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</si>
  <si>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</si>
  <si>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</si>
  <si>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</si>
  <si>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</si>
  <si>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</si>
  <si>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</si>
  <si>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</si>
  <si>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</si>
  <si>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</si>
  <si>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</si>
  <si>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</si>
  <si>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</si>
  <si>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</si>
  <si>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</si>
  <si>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</si>
  <si>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</si>
  <si>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</si>
  <si>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</si>
  <si>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</si>
  <si>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</si>
  <si>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</si>
  <si>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</si>
  <si>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</si>
  <si>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</si>
  <si>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</si>
  <si>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</si>
  <si>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</si>
  <si>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</si>
  <si>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</si>
  <si>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</si>
  <si>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</si>
  <si>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</si>
  <si>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</si>
  <si>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</si>
  <si>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</si>
  <si>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</si>
  <si>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</si>
  <si>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</si>
  <si>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</si>
  <si>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</si>
  <si>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</si>
  <si>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</si>
  <si>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</si>
  <si>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</si>
  <si>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</si>
  <si>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</si>
  <si>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</si>
  <si>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</si>
  <si>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</si>
  <si>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</si>
  <si>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</si>
  <si>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</si>
  <si>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</si>
  <si>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</si>
  <si>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</si>
  <si>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</si>
  <si>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</si>
  <si>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</si>
  <si>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</si>
  <si>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</si>
  <si>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</si>
  <si>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</si>
  <si>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</si>
  <si>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</si>
  <si>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</si>
  <si>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</si>
  <si>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</si>
  <si>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</si>
  <si>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</si>
  <si>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</si>
  <si>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</si>
  <si>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</si>
  <si>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</si>
  <si>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</si>
  <si>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</si>
  <si>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</si>
  <si>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</si>
  <si>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</si>
  <si>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</si>
  <si>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</si>
  <si>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</si>
  <si>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</si>
  <si>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</si>
  <si>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</si>
  <si>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</si>
  <si>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</si>
  <si>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</si>
  <si>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</si>
  <si>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</si>
  <si>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</si>
  <si>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</si>
  <si>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</si>
  <si>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</si>
  <si>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</si>
  <si>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</si>
  <si>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</si>
  <si>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</si>
  <si>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</si>
  <si>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</si>
  <si>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</si>
  <si>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</si>
  <si>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</si>
  <si>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</si>
  <si>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</si>
  <si>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</si>
  <si>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</si>
  <si>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</si>
  <si>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</si>
  <si>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</si>
  <si>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</si>
  <si>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</si>
  <si>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</si>
  <si>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</si>
  <si>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W22</t>
  </si>
  <si>
    <t>WR_ADHERENT_DOORIO_TO_LATCH34_R1</t>
  </si>
  <si>
    <t>DOORIO RO3 / RO4 → K3 return + K4 table latch</t>
  </si>
  <si>
    <t>4c 22 AWG R-B-Y-G · R/B = K3, Y/G = K4</t>
  </si>
  <si>
    <t>W23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</si>
  <si>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</si>
  <si>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</si>
  <si>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</si>
  <si>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</si>
  <si>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</si>
  <si>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</si>
  <si>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</si>
  <si>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</si>
  <si>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</si>
  <si>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</si>
  <si>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</si>
  <si>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</si>
  <si>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</si>
  <si>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</si>
  <si>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</si>
  <si>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</si>
  <si>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</si>
  <si>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</si>
  <si>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</si>
  <si>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</si>
  <si>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</si>
  <si>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</si>
  <si>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</si>
  <si>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</si>
  <si>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</si>
  <si>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</si>
  <si>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</si>
  <si>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</si>
  <si>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</si>
  <si>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</si>
  <si>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</si>
  <si>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</si>
  <si>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</si>
  <si>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</si>
  <si>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</si>
  <si>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</si>
  <si>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</si>
  <si>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</si>
  <si>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W35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</si>
  <si>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</si>
  <si>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</si>
  <si>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</si>
  <si>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</si>
  <si>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W36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</si>
  <si>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</si>
  <si>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</si>
  <si>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</si>
  <si>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</si>
  <si>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</si>
  <si>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</si>
  <si>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</si>
  <si>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</si>
  <si>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</si>
  <si>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</si>
  <si>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</si>
  <si>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</si>
  <si>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</si>
  <si>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</si>
  <si>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</si>
  <si>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</si>
  <si>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</si>
  <si>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</si>
  <si>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OCR,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</si>
  <si>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</si>
  <si>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</si>
  <si>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</si>
  <si>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(W09), USB 3.0 (W19)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</si>
  <si>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</si>
  <si>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</si>
  <si>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</si>
  <si>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</si>
  <si>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</si>
  <si>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</si>
  <si>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</si>
  <si>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</si>
  <si>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</si>
  <si>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</si>
  <si>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</si>
  <si>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+ SMBJ33CA TVS per output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</si>
  <si>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</si>
  <si>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</si>
  <si>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</si>
  <si>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</si>
  <si>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</si>
  <si>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</si>
  <si>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</si>
  <si>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</si>
  <si>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</si>
  <si>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</si>
  <si>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</si>
  <si>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</si>
  <si>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</si>
  <si>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</si>
  <si>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</si>
  <si>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</si>
  <si>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</si>
  <si>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</si>
  <si>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</si>
  <si>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</si>
  <si>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</si>
  <si>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</si>
  <si>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</si>
  <si>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</si>
  <si>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</si>
  <si>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</si>
  <si>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</si>
  <si>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</si>
  <si>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</si>
  <si>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</si>
  <si>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</si>
  <si>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</si>
  <si>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</si>
  <si>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</si>
  <si>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</si>
  <si>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</si>
  <si>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</si>
  <si>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</si>
  <si>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</si>
  <si>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</si>
  <si>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</si>
  <si>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Bottle alignment mark reading</t>
  </si>
  <si>
    <t>USB 3.0 camera + 24 V ring light (TBC)</t>
  </si>
  <si>
    <t>labeling station</t>
  </si>
  <si>
    <t>11</t>
  </si>
  <si>
    <t>Label marker</t>
  </si>
  <si>
    <t>Prints prescription text (laser marker or thermal printer — TBC)</t>
  </si>
  <si>
    <t>USB or Ethernet, own PSU</t>
  </si>
  <si>
    <t>12</t>
  </si>
  <si>
    <t>Stack light, 12 V</t>
  </si>
  <si>
    <t>Machine status</t>
  </si>
  <si>
    <t>3-colour, 12 V</t>
  </si>
  <si>
    <t>cabinet top / front</t>
  </si>
  <si>
    <t>13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</si>
  <si>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</si>
  <si>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</si>
  <si>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</si>
  <si>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</si>
  <si>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</si>
  <si>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14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</si>
  <si>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</si>
  <si>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</si>
  <si>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</si>
  <si>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</si>
  <si>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</si>
  <si>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</si>
  <si>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</si>
  <si>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</si>
  <si>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DIN fuse block schedule</t>
  </si>
  <si>
    <t>Phoenix Contact UT 4-HESI (5×20) terminals, 5 × 20 mm fuses · ratings are Rev A estimates, confirm against measured currents</t>
  </si>
  <si>
    <t>Fuse</t>
  </si>
  <si>
    <t>Rail</t>
  </si>
  <si>
    <t>Load</t>
  </si>
  <si>
    <t>Rating (A)</t>
  </si>
  <si>
    <t>F1–F10</t>
  </si>
  <si>
    <t>24 V</t>
  </si>
  <si>
    <t>LANECTRL-01…10 row feeders</t>
  </si>
  <si>
    <t>one per row, W25</t>
  </si>
  <si>
    <t>F11</t>
  </si>
  <si>
    <t>SYSCTRL chuck stepper rail</t>
  </si>
  <si>
    <t>F12</t>
  </si>
  <si>
    <t>12 V</t>
  </si>
  <si>
    <t>SYSCTRL logic + latches</t>
  </si>
  <si>
    <t>F13</t>
  </si>
  <si>
    <t>F14</t>
  </si>
  <si>
    <t>lane-bus 12 V rail (via SYSCTRL J15A)</t>
  </si>
  <si>
    <t>W26 / W27</t>
  </si>
  <si>
    <t>F15</t>
  </si>
  <si>
    <t>48 V</t>
  </si>
  <si>
    <t>X drive unit</t>
  </si>
  <si>
    <t>F16</t>
  </si>
  <si>
    <t>Z drive unit</t>
  </si>
  <si>
    <t>F17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</si>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</sst>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</fills>
  <borders count="3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13</v>
      </c>
    </row>
    <row r="2" spans="1:6" x14ac:dyDescent="0.25">
      <c r="A2" s="2" t="s">
        <v>14</v>
      </c>
    </row>
    <row r="4" spans="1:6" ht="30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pans="1:6" ht="25.5" customHeight="1" x14ac:dyDescent="0.25">
      <c r="A7" s="6" t="s">
        <v>33</v>
      </c>
      <c r="B7" s="6" t="s">
        <v>34</v>
      </c>
      <c r="C7" s="6" t="s">
        <v>23</v>
      </c>
      <c r="D7" s="6" t="s">
        <v>35</v>
      </c>
      <c r="E7" s="6" t="s">
        <v>36</v>
      </c>
      <c r="F7" s="6" t="s">
        <v>37</v>
      </c>
    </row>
    <row r="8" spans="1:6" ht="25.5" customHeight="1" x14ac:dyDescent="0.25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spans="1:6" ht="25.5" customHeight="1" x14ac:dyDescent="0.25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</row>
    <row r="10" spans="1:6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6" ht="25.5" customHeight="1" x14ac:dyDescent="0.2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</row>
    <row r="12" spans="1:6" ht="25.5" customHeight="1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</row>
    <row r="13" spans="1:6" ht="25.5" customHeight="1" x14ac:dyDescent="0.25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52</v>
      </c>
      <c r="D14" s="6" t="s">
        <v>75</v>
      </c>
      <c r="E14" s="6" t="s">
        <v>76</v>
      </c>
      <c r="F14" s="6" t="s">
        <v>77</v>
      </c>
    </row>
    <row r="15" spans="1:6" ht="25.5" customHeight="1" x14ac:dyDescent="0.25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80</v>
      </c>
      <c r="D16" s="6" t="s">
        <v>86</v>
      </c>
      <c r="E16" s="6" t="s">
        <v>87</v>
      </c>
      <c r="F16" s="6" t="s">
        <v>88</v>
      </c>
    </row>
    <row r="17" spans="1:6" x14ac:dyDescent="0.25">
      <c r="A17" s="6" t="s">
        <v>89</v>
      </c>
      <c r="B17" s="6" t="s">
        <v>90</v>
      </c>
      <c r="C17" s="6" t="s">
        <v>80</v>
      </c>
      <c r="D17" s="6" t="s">
        <v>91</v>
      </c>
      <c r="E17" s="6" t="s">
        <v>54</v>
      </c>
      <c r="F17" s="6" t="s">
        <v>55</v>
      </c>
    </row>
    <row r="18" spans="1:6" x14ac:dyDescent="0.25">
      <c r="A18" s="6" t="s">
        <v>92</v>
      </c>
      <c r="B18" s="6" t="s">
        <v>93</v>
      </c>
      <c r="C18" s="6" t="s">
        <v>94</v>
      </c>
      <c r="D18" s="6" t="s">
        <v>95</v>
      </c>
      <c r="E18" s="6" t="s">
        <v>76</v>
      </c>
      <c r="F18" s="6" t="s">
        <v>96</v>
      </c>
    </row>
    <row r="19" spans="1:6" ht="25.5" customHeight="1" x14ac:dyDescent="0.25">
      <c r="A19" s="6" t="s">
        <v>97</v>
      </c>
      <c r="B19" s="6" t="s">
        <v>98</v>
      </c>
      <c r="C19" s="6" t="s">
        <v>80</v>
      </c>
      <c r="D19" s="6" t="s">
        <v>95</v>
      </c>
      <c r="E19" s="6" t="s">
        <v>76</v>
      </c>
      <c r="F19" s="6" t="s">
        <v>99</v>
      </c>
    </row>
    <row r="20" spans="1:6" ht="25.5" customHeight="1" x14ac:dyDescent="0.25">
      <c r="A20" s="6" t="s">
        <v>100</v>
      </c>
      <c r="B20" s="6" t="s">
        <v>101</v>
      </c>
      <c r="C20" s="6" t="s">
        <v>80</v>
      </c>
      <c r="D20" s="6" t="s">
        <v>102</v>
      </c>
      <c r="E20" s="6" t="s">
        <v>54</v>
      </c>
      <c r="F20" s="6" t="s">
        <v>103</v>
      </c>
    </row>
    <row r="21" spans="1:6" ht="25.5" customHeight="1" x14ac:dyDescent="0.25">
      <c r="A21" s="6" t="s">
        <v>104</v>
      </c>
      <c r="B21" s="6" t="s">
        <v>105</v>
      </c>
      <c r="C21" s="6" t="s">
        <v>106</v>
      </c>
      <c r="D21" s="6" t="s">
        <v>107</v>
      </c>
      <c r="E21" s="6" t="s">
        <v>108</v>
      </c>
      <c r="F21" s="6" t="s">
        <v>109</v>
      </c>
    </row>
    <row r="22" spans="1:6" ht="25.5" customHeight="1" x14ac:dyDescent="0.25">
      <c r="A22" s="6" t="s">
        <v>110</v>
      </c>
      <c r="B22" s="6" t="s">
        <v>111</v>
      </c>
      <c r="C22" s="6" t="s">
        <v>106</v>
      </c>
      <c r="D22" s="6" t="s">
        <v>107</v>
      </c>
      <c r="E22" s="6" t="s">
        <v>108</v>
      </c>
      <c r="F22" s="6" t="s">
        <v>112</v>
      </c>
    </row>
    <row r="23" spans="1:6" ht="25.5" customHeight="1" x14ac:dyDescent="0.25">
      <c r="A23" s="6" t="s">
        <v>113</v>
      </c>
      <c r="B23" s="6" t="s">
        <v>114</v>
      </c>
      <c r="C23" s="6" t="s">
        <v>80</v>
      </c>
      <c r="D23" s="6" t="s">
        <v>115</v>
      </c>
      <c r="E23" s="6" t="s">
        <v>54</v>
      </c>
      <c r="F23" s="6" t="s">
        <v>103</v>
      </c>
    </row>
    <row r="24" spans="1:6" ht="25.5" customHeight="1" x14ac:dyDescent="0.25">
      <c r="A24" s="6" t="s">
        <v>116</v>
      </c>
      <c r="B24" s="6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</row>
    <row r="25" spans="1:6" ht="25.5" customHeight="1" x14ac:dyDescent="0.25">
      <c r="A25" s="6" t="s">
        <v>122</v>
      </c>
      <c r="B25" s="6" t="s">
        <v>123</v>
      </c>
      <c r="C25" s="6" t="s">
        <v>118</v>
      </c>
      <c r="D25" s="6" t="s">
        <v>124</v>
      </c>
      <c r="E25" s="6" t="s">
        <v>48</v>
      </c>
      <c r="F25" s="6" t="s">
        <v>125</v>
      </c>
    </row>
    <row r="26" spans="1:6" ht="25.5" customHeight="1" x14ac:dyDescent="0.25">
      <c r="A26" s="6" t="s">
        <v>126</v>
      </c>
      <c r="B26" s="6" t="s">
        <v>127</v>
      </c>
      <c r="C26" s="6" t="s">
        <v>118</v>
      </c>
      <c r="D26" s="6" t="s">
        <v>128</v>
      </c>
      <c r="E26" s="6" t="s">
        <v>48</v>
      </c>
      <c r="F26" s="6" t="s">
        <v>129</v>
      </c>
    </row>
    <row r="27" spans="1:6" ht="25.5" customHeight="1" x14ac:dyDescent="0.25">
      <c r="A27" s="6" t="s">
        <v>130</v>
      </c>
      <c r="B27" s="6" t="s">
        <v>131</v>
      </c>
      <c r="C27" s="6" t="s">
        <v>132</v>
      </c>
      <c r="D27" s="6" t="s">
        <v>133</v>
      </c>
      <c r="E27" s="6" t="s">
        <v>134</v>
      </c>
      <c r="F27" s="6" t="s">
        <v>135</v>
      </c>
    </row>
    <row r="28" spans="1:6" ht="25.5" customHeight="1" x14ac:dyDescent="0.25">
      <c r="A28" s="14" t="s">
        <v>136</v>
      </c>
      <c r="B28" s="14" t="s">
        <v>137</v>
      </c>
      <c r="C28" s="14" t="s">
        <v>106</v>
      </c>
      <c r="D28" s="14" t="s">
        <v>107</v>
      </c>
      <c r="E28" s="14" t="s">
        <v>108</v>
      </c>
      <c r="F28" s="14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139</v>
      </c>
    </row>
    <row r="2" spans="1:10" x14ac:dyDescent="0.25">
      <c r="A2" s="2" t="s">
        <v>140</v>
      </c>
    </row>
    <row r="4" spans="1:10" ht="30" customHeight="1" x14ac:dyDescent="0.25">
      <c r="A4" s="5" t="s">
        <v>141</v>
      </c>
      <c r="B4" s="5" t="s">
        <v>142</v>
      </c>
      <c r="C4" s="5" t="s">
        <v>143</v>
      </c>
      <c r="D4" s="5" t="s">
        <v>144</v>
      </c>
      <c r="E4" s="5" t="s">
        <v>145</v>
      </c>
      <c r="F4" s="5" t="s">
        <v>146</v>
      </c>
      <c r="G4" s="5" t="s">
        <v>147</v>
      </c>
      <c r="H4" s="5" t="s">
        <v>148</v>
      </c>
      <c r="I4" s="5" t="s">
        <v>149</v>
      </c>
      <c r="J4" s="5" t="s">
        <v>150</v>
      </c>
    </row>
    <row r="5" spans="1:10" x14ac:dyDescent="0.25">
      <c r="A5" s="6" t="s">
        <v>151</v>
      </c>
      <c r="B5" s="6" t="s">
        <v>152</v>
      </c>
      <c r="C5" s="6" t="s">
        <v>153</v>
      </c>
      <c r="D5" s="6" t="s">
        <v>154</v>
      </c>
      <c r="E5" s="6" t="s">
        <v>155</v>
      </c>
      <c r="F5" s="7">
        <v>1</v>
      </c>
      <c r="G5" s="8">
        <v>0.4</v>
      </c>
      <c r="H5" s="9">
        <f t="shared" ref="H5:H40" si="0">F5*G5</f>
        <v>0.4</v>
      </c>
      <c r="I5" s="7">
        <v>0</v>
      </c>
      <c r="J5" s="9">
        <f t="shared" ref="J5:J40" si="1">F5*G5*I5*1.2</f>
        <v>0</v>
      </c>
    </row>
    <row r="6" spans="1:10" x14ac:dyDescent="0.25">
      <c r="A6" s="6" t="s">
        <v>156</v>
      </c>
      <c r="B6" s="6" t="s">
        <v>157</v>
      </c>
      <c r="C6" s="6" t="s">
        <v>158</v>
      </c>
      <c r="D6" s="6" t="s">
        <v>154</v>
      </c>
      <c r="E6" s="6" t="s">
        <v>155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159</v>
      </c>
      <c r="B7" s="6" t="s">
        <v>160</v>
      </c>
      <c r="C7" s="6" t="s">
        <v>161</v>
      </c>
      <c r="D7" s="6" t="s">
        <v>154</v>
      </c>
      <c r="E7" s="6" t="s">
        <v>162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163</v>
      </c>
      <c r="B8" s="6" t="s">
        <v>164</v>
      </c>
      <c r="C8" s="6" t="s">
        <v>165</v>
      </c>
      <c r="D8" s="6" t="s">
        <v>166</v>
      </c>
      <c r="E8" s="6" t="s">
        <v>167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168</v>
      </c>
      <c r="B9" s="6" t="s">
        <v>169</v>
      </c>
      <c r="C9" s="6" t="s">
        <v>170</v>
      </c>
      <c r="D9" s="6" t="s">
        <v>171</v>
      </c>
      <c r="E9" s="6" t="s">
        <v>167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172</v>
      </c>
      <c r="B10" s="6" t="s">
        <v>173</v>
      </c>
      <c r="C10" s="6" t="s">
        <v>174</v>
      </c>
      <c r="D10" s="6" t="s">
        <v>175</v>
      </c>
      <c r="E10" s="6" t="s">
        <v>167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176</v>
      </c>
      <c r="B11" s="6" t="s">
        <v>177</v>
      </c>
      <c r="C11" s="6" t="s">
        <v>178</v>
      </c>
      <c r="D11" s="6" t="s">
        <v>179</v>
      </c>
      <c r="E11" s="6" t="s">
        <v>180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181</v>
      </c>
      <c r="B12" s="6" t="s">
        <v>182</v>
      </c>
      <c r="C12" s="6" t="s">
        <v>183</v>
      </c>
      <c r="D12" s="6" t="s">
        <v>184</v>
      </c>
      <c r="E12" s="6" t="s">
        <v>185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186</v>
      </c>
      <c r="B13" s="6" t="s">
        <v>187</v>
      </c>
      <c r="C13" s="6" t="s">
        <v>188</v>
      </c>
      <c r="D13" s="6" t="s">
        <v>179</v>
      </c>
      <c r="E13" s="6" t="s">
        <v>185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189</v>
      </c>
      <c r="B14" s="6" t="s">
        <v>190</v>
      </c>
      <c r="C14" s="6" t="s">
        <v>191</v>
      </c>
      <c r="D14" s="6" t="s">
        <v>192</v>
      </c>
      <c r="E14" s="6" t="s">
        <v>193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194</v>
      </c>
      <c r="B15" s="6" t="s">
        <v>195</v>
      </c>
      <c r="C15" s="6" t="s">
        <v>196</v>
      </c>
      <c r="D15" s="6" t="s">
        <v>197</v>
      </c>
      <c r="E15" s="6" t="s">
        <v>193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198</v>
      </c>
      <c r="B16" s="6" t="s">
        <v>199</v>
      </c>
      <c r="C16" s="6" t="s">
        <v>200</v>
      </c>
      <c r="D16" s="6" t="s">
        <v>201</v>
      </c>
      <c r="E16" s="6" t="s">
        <v>202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203</v>
      </c>
      <c r="B17" s="6" t="s">
        <v>204</v>
      </c>
      <c r="C17" s="6" t="s">
        <v>205</v>
      </c>
      <c r="D17" s="6" t="s">
        <v>206</v>
      </c>
      <c r="E17" s="6" t="s">
        <v>207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208</v>
      </c>
      <c r="B18" s="6" t="s">
        <v>209</v>
      </c>
      <c r="C18" s="6" t="s">
        <v>210</v>
      </c>
      <c r="D18" s="6" t="s">
        <v>211</v>
      </c>
      <c r="E18" s="6" t="s">
        <v>212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213</v>
      </c>
      <c r="B19" s="6" t="s">
        <v>214</v>
      </c>
      <c r="C19" s="6" t="s">
        <v>215</v>
      </c>
      <c r="D19" s="6" t="s">
        <v>216</v>
      </c>
      <c r="E19" s="6" t="s">
        <v>217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218</v>
      </c>
      <c r="B20" s="6" t="s">
        <v>219</v>
      </c>
      <c r="C20" s="6" t="s">
        <v>220</v>
      </c>
      <c r="D20" s="6" t="s">
        <v>221</v>
      </c>
      <c r="E20" s="6" t="s">
        <v>217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222</v>
      </c>
      <c r="B21" s="6" t="s">
        <v>223</v>
      </c>
      <c r="C21" s="6" t="s">
        <v>224</v>
      </c>
      <c r="D21" s="6" t="s">
        <v>225</v>
      </c>
      <c r="E21" s="6" t="s">
        <v>226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227</v>
      </c>
      <c r="B22" s="6" t="s">
        <v>228</v>
      </c>
      <c r="C22" s="6" t="s">
        <v>229</v>
      </c>
      <c r="D22" s="6" t="s">
        <v>230</v>
      </c>
      <c r="E22" s="6" t="s">
        <v>231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232</v>
      </c>
      <c r="B23" s="6" t="s">
        <v>233</v>
      </c>
      <c r="C23" s="6" t="s">
        <v>234</v>
      </c>
      <c r="D23" s="6" t="s">
        <v>235</v>
      </c>
      <c r="E23" s="6" t="s">
        <v>236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237</v>
      </c>
      <c r="B24" s="6" t="s">
        <v>238</v>
      </c>
      <c r="C24" s="6" t="s">
        <v>239</v>
      </c>
      <c r="D24" s="6" t="s">
        <v>240</v>
      </c>
      <c r="E24" s="6" t="s">
        <v>241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242</v>
      </c>
      <c r="B25" s="6" t="s">
        <v>243</v>
      </c>
      <c r="C25" s="6" t="s">
        <v>244</v>
      </c>
      <c r="D25" s="6" t="s">
        <v>240</v>
      </c>
      <c r="E25" s="6" t="s">
        <v>241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245</v>
      </c>
      <c r="B26" s="6" t="s">
        <v>246</v>
      </c>
      <c r="C26" s="6" t="s">
        <v>247</v>
      </c>
      <c r="D26" s="6" t="s">
        <v>248</v>
      </c>
      <c r="E26" s="6" t="s">
        <v>249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250</v>
      </c>
      <c r="B27" s="6" t="s">
        <v>251</v>
      </c>
      <c r="C27" s="6" t="s">
        <v>252</v>
      </c>
      <c r="D27" s="6" t="s">
        <v>253</v>
      </c>
      <c r="E27" s="6" t="s">
        <v>254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255</v>
      </c>
      <c r="B28" s="6" t="s">
        <v>256</v>
      </c>
      <c r="C28" s="6" t="s">
        <v>257</v>
      </c>
      <c r="D28" s="6" t="s">
        <v>258</v>
      </c>
      <c r="E28" s="6" t="s">
        <v>254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259</v>
      </c>
      <c r="B29" s="14" t="s">
        <v>260</v>
      </c>
      <c r="C29" s="14" t="s">
        <v>261</v>
      </c>
      <c r="D29" s="6" t="s">
        <v>262</v>
      </c>
      <c r="E29" s="14" t="s">
        <v>263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264</v>
      </c>
      <c r="B30" s="14" t="s">
        <v>265</v>
      </c>
      <c r="C30" s="14" t="s">
        <v>266</v>
      </c>
      <c r="D30" s="6" t="s">
        <v>267</v>
      </c>
      <c r="E30" s="14" t="s">
        <v>263</v>
      </c>
      <c r="F30" s="7">
        <v>1</v>
      </c>
      <c r="G30" s="15">
        <v>0.8</v>
      </c>
      <c r="H30" s="9">
        <f t="shared" si="0"/>
        <v>0.8</v>
      </c>
      <c r="I30" s="7">
        <v>1</v>
      </c>
      <c r="J30" s="9">
        <f t="shared" si="1"/>
        <v>0.96</v>
      </c>
    </row>
    <row r="31" spans="1:10" ht="25.5" customHeight="1" x14ac:dyDescent="0.25">
      <c r="A31" s="6" t="s">
        <v>268</v>
      </c>
      <c r="B31" s="14" t="s">
        <v>269</v>
      </c>
      <c r="C31" s="14" t="s">
        <v>270</v>
      </c>
      <c r="D31" s="6" t="s">
        <v>271</v>
      </c>
      <c r="E31" s="14" t="s">
        <v>272</v>
      </c>
      <c r="F31" s="7">
        <v>1</v>
      </c>
      <c r="G31" s="15">
        <v>0.6</v>
      </c>
      <c r="H31" s="9">
        <f t="shared" si="0"/>
        <v>0.6</v>
      </c>
      <c r="I31" s="7">
        <v>2</v>
      </c>
      <c r="J31" s="9">
        <f t="shared" si="1"/>
        <v>1.44</v>
      </c>
    </row>
    <row r="32" spans="1:10" ht="25.5" customHeight="1" x14ac:dyDescent="0.25">
      <c r="A32" s="6" t="s">
        <v>273</v>
      </c>
      <c r="B32" s="6" t="s">
        <v>274</v>
      </c>
      <c r="C32" s="6" t="s">
        <v>275</v>
      </c>
      <c r="D32" s="6" t="s">
        <v>276</v>
      </c>
      <c r="E32" s="6" t="s">
        <v>277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278</v>
      </c>
      <c r="B33" s="6" t="s">
        <v>279</v>
      </c>
      <c r="C33" s="6" t="s">
        <v>280</v>
      </c>
      <c r="D33" s="6" t="s">
        <v>281</v>
      </c>
      <c r="E33" s="6" t="s">
        <v>282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customHeight="1" x14ac:dyDescent="0.25">
      <c r="A34" s="6" t="s">
        <v>283</v>
      </c>
      <c r="B34" s="6" t="s">
        <v>284</v>
      </c>
      <c r="C34" s="6" t="s">
        <v>285</v>
      </c>
      <c r="D34" s="6" t="s">
        <v>286</v>
      </c>
      <c r="E34" s="6" t="s">
        <v>287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customHeight="1" x14ac:dyDescent="0.25">
      <c r="A35" s="6" t="s">
        <v>288</v>
      </c>
      <c r="B35" s="6" t="s">
        <v>289</v>
      </c>
      <c r="C35" s="6" t="s">
        <v>290</v>
      </c>
      <c r="D35" s="6" t="s">
        <v>286</v>
      </c>
      <c r="E35" s="6" t="s">
        <v>291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292</v>
      </c>
      <c r="B36" s="6" t="s">
        <v>293</v>
      </c>
      <c r="C36" s="6" t="s">
        <v>294</v>
      </c>
      <c r="D36" s="6" t="s">
        <v>295</v>
      </c>
      <c r="E36" s="6" t="s">
        <v>296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customHeight="1" x14ac:dyDescent="0.25">
      <c r="A37" s="6" t="s">
        <v>297</v>
      </c>
      <c r="B37" s="6" t="s">
        <v>298</v>
      </c>
      <c r="C37" s="6" t="s">
        <v>299</v>
      </c>
      <c r="D37" s="6" t="s">
        <v>300</v>
      </c>
      <c r="E37" s="6" t="s">
        <v>301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customHeight="1" x14ac:dyDescent="0.25">
      <c r="A38" s="6" t="s">
        <v>302</v>
      </c>
      <c r="B38" s="14" t="s">
        <v>303</v>
      </c>
      <c r="C38" s="14" t="s">
        <v>304</v>
      </c>
      <c r="D38" s="6" t="s">
        <v>305</v>
      </c>
      <c r="E38" s="14" t="s">
        <v>306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ht="25.5" customHeight="1" x14ac:dyDescent="0.25">
      <c r="A39" s="14" t="s">
        <v>307</v>
      </c>
      <c r="B39" s="14" t="s">
        <v>308</v>
      </c>
      <c r="C39" s="14" t="s">
        <v>309</v>
      </c>
      <c r="D39" s="14" t="s">
        <v>310</v>
      </c>
      <c r="E39" s="14" t="s">
        <v>311</v>
      </c>
      <c r="F39" s="16">
        <v>1</v>
      </c>
      <c r="G39" s="15">
        <v>1.5</v>
      </c>
      <c r="H39" s="17">
        <f t="shared" si="0"/>
        <v>1.5</v>
      </c>
      <c r="I39" s="16">
        <v>1</v>
      </c>
      <c r="J39" s="17">
        <f t="shared" si="1"/>
        <v>1.7999999999999998</v>
      </c>
    </row>
    <row r="40" spans="1:10" ht="25.5" customHeight="1" x14ac:dyDescent="0.25">
      <c r="A40" s="14" t="s">
        <v>312</v>
      </c>
      <c r="B40" s="14" t="s">
        <v>313</v>
      </c>
      <c r="C40" s="14" t="s">
        <v>314</v>
      </c>
      <c r="D40" s="14" t="s">
        <v>179</v>
      </c>
      <c r="E40" s="14" t="s">
        <v>315</v>
      </c>
      <c r="F40" s="16">
        <v>1</v>
      </c>
      <c r="G40" s="15">
        <v>1.5</v>
      </c>
      <c r="H40" s="17">
        <f t="shared" si="0"/>
        <v>1.5</v>
      </c>
      <c r="I40" s="16">
        <v>1</v>
      </c>
      <c r="J40" s="17">
        <f t="shared" si="1"/>
        <v>1.7999999999999998</v>
      </c>
    </row>
    <row r="41" spans="1:10" x14ac:dyDescent="0.25">
      <c r="A41" s="10"/>
      <c r="B41" s="11" t="s">
        <v>316</v>
      </c>
      <c r="C41" s="10"/>
      <c r="D41" s="10"/>
      <c r="E41" s="10"/>
      <c r="F41" s="11">
        <f>SUM(F5:F40)</f>
        <v>140</v>
      </c>
      <c r="G41" s="10"/>
      <c r="H41" s="12">
        <f>SUM(H5:H40)</f>
        <v>105.6</v>
      </c>
      <c r="I41" s="10"/>
      <c r="J41" s="12">
        <f>SUM(J5:J40)</f>
        <v>153.36000000000001</v>
      </c>
    </row>
    <row r="43" spans="1:10" x14ac:dyDescent="0.25">
      <c r="A43" s="2" t="s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318</v>
      </c>
    </row>
    <row r="2" spans="1:9" x14ac:dyDescent="0.25">
      <c r="A2" s="2" t="s">
        <v>319</v>
      </c>
    </row>
    <row r="4" spans="1:9" ht="30" customHeight="1" x14ac:dyDescent="0.25">
      <c r="A4" s="5" t="s">
        <v>320</v>
      </c>
      <c r="B4" s="5" t="s">
        <v>321</v>
      </c>
      <c r="C4" s="5" t="s">
        <v>322</v>
      </c>
      <c r="D4" s="5" t="s">
        <v>323</v>
      </c>
      <c r="E4" s="5" t="s">
        <v>324</v>
      </c>
      <c r="F4" s="5" t="s">
        <v>325</v>
      </c>
      <c r="G4" s="5" t="s">
        <v>146</v>
      </c>
      <c r="H4" s="5" t="s">
        <v>326</v>
      </c>
      <c r="I4" s="5" t="s">
        <v>327</v>
      </c>
    </row>
    <row r="5" spans="1:9" ht="38.25" customHeight="1" x14ac:dyDescent="0.25">
      <c r="A5" s="6" t="s">
        <v>328</v>
      </c>
      <c r="B5" s="6" t="s">
        <v>329</v>
      </c>
      <c r="C5" s="6" t="s">
        <v>330</v>
      </c>
      <c r="D5" s="6" t="s">
        <v>331</v>
      </c>
      <c r="E5" s="6" t="s">
        <v>332</v>
      </c>
      <c r="F5" s="6" t="s">
        <v>333</v>
      </c>
      <c r="G5" s="6" t="s">
        <v>328</v>
      </c>
      <c r="H5" s="6" t="s">
        <v>334</v>
      </c>
      <c r="I5" s="6" t="s">
        <v>335</v>
      </c>
    </row>
    <row r="6" spans="1:9" ht="63.75" customHeight="1" x14ac:dyDescent="0.25">
      <c r="A6" s="6" t="s">
        <v>336</v>
      </c>
      <c r="B6" s="6" t="s">
        <v>337</v>
      </c>
      <c r="C6" s="6" t="s">
        <v>338</v>
      </c>
      <c r="D6" s="6" t="s">
        <v>339</v>
      </c>
      <c r="E6" s="6" t="s">
        <v>340</v>
      </c>
      <c r="F6" s="6" t="s">
        <v>341</v>
      </c>
      <c r="G6" s="6" t="s">
        <v>328</v>
      </c>
      <c r="H6" s="6" t="s">
        <v>334</v>
      </c>
      <c r="I6" s="6" t="s">
        <v>342</v>
      </c>
    </row>
    <row r="7" spans="1:9" ht="38.25" customHeight="1" x14ac:dyDescent="0.25">
      <c r="A7" s="6" t="s">
        <v>343</v>
      </c>
      <c r="B7" s="6" t="s">
        <v>344</v>
      </c>
      <c r="C7" s="6" t="s">
        <v>345</v>
      </c>
      <c r="D7" s="6" t="s">
        <v>346</v>
      </c>
      <c r="E7" s="6" t="s">
        <v>347</v>
      </c>
      <c r="F7" s="6" t="s">
        <v>348</v>
      </c>
      <c r="G7" s="6" t="s">
        <v>349</v>
      </c>
      <c r="H7" s="6" t="s">
        <v>350</v>
      </c>
      <c r="I7" s="6" t="s">
        <v>351</v>
      </c>
    </row>
    <row r="8" spans="1:9" ht="25.5" customHeight="1" x14ac:dyDescent="0.25">
      <c r="A8" s="6" t="s">
        <v>352</v>
      </c>
      <c r="B8" s="6" t="s">
        <v>353</v>
      </c>
      <c r="C8" s="6" t="s">
        <v>354</v>
      </c>
      <c r="D8" s="6" t="s">
        <v>355</v>
      </c>
      <c r="E8" s="6" t="s">
        <v>356</v>
      </c>
      <c r="F8" s="6" t="s">
        <v>48</v>
      </c>
      <c r="G8" s="6" t="s">
        <v>349</v>
      </c>
      <c r="H8" s="6" t="s">
        <v>357</v>
      </c>
      <c r="I8" s="6" t="s">
        <v>358</v>
      </c>
    </row>
    <row r="9" spans="1:9" x14ac:dyDescent="0.25">
      <c r="A9" s="6" t="s">
        <v>359</v>
      </c>
      <c r="B9" s="6" t="s">
        <v>360</v>
      </c>
      <c r="C9" s="6" t="s">
        <v>361</v>
      </c>
      <c r="D9" s="6" t="s">
        <v>362</v>
      </c>
      <c r="E9" s="6" t="s">
        <v>363</v>
      </c>
      <c r="F9" s="6" t="s">
        <v>48</v>
      </c>
      <c r="G9" s="6" t="s">
        <v>328</v>
      </c>
      <c r="H9" s="6" t="s">
        <v>334</v>
      </c>
      <c r="I9" s="6" t="s">
        <v>364</v>
      </c>
    </row>
    <row r="10" spans="1:9" ht="25.5" customHeight="1" x14ac:dyDescent="0.25">
      <c r="A10" s="6" t="s">
        <v>365</v>
      </c>
      <c r="B10" s="6" t="s">
        <v>366</v>
      </c>
      <c r="C10" s="6" t="s">
        <v>361</v>
      </c>
      <c r="D10" s="6" t="s">
        <v>367</v>
      </c>
      <c r="E10" s="6" t="s">
        <v>368</v>
      </c>
      <c r="F10" s="6" t="s">
        <v>48</v>
      </c>
      <c r="G10" s="6" t="s">
        <v>328</v>
      </c>
      <c r="H10" s="6" t="s">
        <v>334</v>
      </c>
      <c r="I10" s="6" t="s">
        <v>369</v>
      </c>
    </row>
    <row r="11" spans="1:9" ht="25.5" customHeight="1" x14ac:dyDescent="0.25">
      <c r="A11" s="6" t="s">
        <v>370</v>
      </c>
      <c r="B11" s="6" t="s">
        <v>371</v>
      </c>
      <c r="C11" s="6" t="s">
        <v>361</v>
      </c>
      <c r="D11" s="6" t="s">
        <v>372</v>
      </c>
      <c r="E11" s="6" t="s">
        <v>373</v>
      </c>
      <c r="F11" s="6" t="s">
        <v>48</v>
      </c>
      <c r="G11" s="6" t="s">
        <v>328</v>
      </c>
      <c r="H11" s="6" t="s">
        <v>334</v>
      </c>
      <c r="I11" s="6" t="s">
        <v>374</v>
      </c>
    </row>
    <row r="12" spans="1:9" ht="25.5" customHeight="1" x14ac:dyDescent="0.25">
      <c r="A12" s="6" t="s">
        <v>375</v>
      </c>
      <c r="B12" s="6" t="s">
        <v>376</v>
      </c>
      <c r="C12" s="6" t="s">
        <v>377</v>
      </c>
      <c r="D12" s="6" t="s">
        <v>378</v>
      </c>
      <c r="E12" s="6" t="s">
        <v>379</v>
      </c>
      <c r="F12" s="6" t="s">
        <v>48</v>
      </c>
      <c r="G12" s="6" t="s">
        <v>336</v>
      </c>
      <c r="H12" s="6" t="s">
        <v>380</v>
      </c>
      <c r="I12" s="6" t="s">
        <v>381</v>
      </c>
    </row>
    <row r="13" spans="1:9" ht="25.5" customHeight="1" x14ac:dyDescent="0.25">
      <c r="A13" s="6" t="s">
        <v>382</v>
      </c>
      <c r="B13" s="6" t="s">
        <v>383</v>
      </c>
      <c r="C13" s="6" t="s">
        <v>361</v>
      </c>
      <c r="D13" s="6" t="s">
        <v>384</v>
      </c>
      <c r="E13" s="6" t="s">
        <v>385</v>
      </c>
      <c r="F13" s="6" t="s">
        <v>48</v>
      </c>
      <c r="G13" s="6" t="s">
        <v>386</v>
      </c>
      <c r="H13" s="6" t="s">
        <v>387</v>
      </c>
      <c r="I13" s="6" t="s">
        <v>388</v>
      </c>
    </row>
    <row r="14" spans="1:9" x14ac:dyDescent="0.25">
      <c r="A14" s="6" t="s">
        <v>349</v>
      </c>
      <c r="B14" s="6" t="s">
        <v>127</v>
      </c>
      <c r="C14" s="6" t="s">
        <v>361</v>
      </c>
      <c r="D14" s="6" t="s">
        <v>389</v>
      </c>
      <c r="E14" s="6" t="s">
        <v>390</v>
      </c>
      <c r="F14" s="6" t="s">
        <v>48</v>
      </c>
      <c r="G14" s="6" t="s">
        <v>328</v>
      </c>
      <c r="H14" s="6" t="s">
        <v>391</v>
      </c>
      <c r="I14" s="6" t="s">
        <v>250</v>
      </c>
    </row>
    <row r="15" spans="1:9" ht="25.5" customHeight="1" x14ac:dyDescent="0.25">
      <c r="A15" s="6" t="s">
        <v>392</v>
      </c>
      <c r="B15" s="6" t="s">
        <v>393</v>
      </c>
      <c r="C15" s="6" t="s">
        <v>361</v>
      </c>
      <c r="D15" s="6" t="s">
        <v>394</v>
      </c>
      <c r="E15" s="6" t="s">
        <v>395</v>
      </c>
      <c r="F15" s="6" t="s">
        <v>48</v>
      </c>
      <c r="G15" s="6" t="s">
        <v>328</v>
      </c>
      <c r="H15" s="6" t="s">
        <v>391</v>
      </c>
      <c r="I15" s="6" t="s">
        <v>255</v>
      </c>
    </row>
    <row r="16" spans="1:9" ht="25.5" customHeight="1" x14ac:dyDescent="0.25">
      <c r="A16" s="6" t="s">
        <v>396</v>
      </c>
      <c r="B16" s="6" t="s">
        <v>397</v>
      </c>
      <c r="C16" s="6" t="s">
        <v>361</v>
      </c>
      <c r="D16" s="6" t="s">
        <v>398</v>
      </c>
      <c r="E16" s="6" t="s">
        <v>399</v>
      </c>
      <c r="F16" s="6" t="s">
        <v>48</v>
      </c>
      <c r="G16" s="6" t="s">
        <v>328</v>
      </c>
      <c r="H16" s="6" t="s">
        <v>400</v>
      </c>
      <c r="I16" s="6" t="s">
        <v>80</v>
      </c>
    </row>
    <row r="17" spans="1:9" x14ac:dyDescent="0.25">
      <c r="A17" s="6" t="s">
        <v>401</v>
      </c>
      <c r="B17" s="6" t="s">
        <v>402</v>
      </c>
      <c r="C17" s="6" t="s">
        <v>361</v>
      </c>
      <c r="D17" s="6" t="s">
        <v>403</v>
      </c>
      <c r="E17" s="6" t="s">
        <v>404</v>
      </c>
      <c r="F17" s="6" t="s">
        <v>48</v>
      </c>
      <c r="G17" s="6" t="s">
        <v>405</v>
      </c>
      <c r="H17" s="6" t="s">
        <v>334</v>
      </c>
      <c r="I17" s="6" t="s">
        <v>406</v>
      </c>
    </row>
    <row r="18" spans="1:9" ht="38.25" customHeight="1" x14ac:dyDescent="0.25">
      <c r="A18" s="14" t="s">
        <v>407</v>
      </c>
      <c r="B18" s="14" t="s">
        <v>408</v>
      </c>
      <c r="C18" s="14" t="s">
        <v>409</v>
      </c>
      <c r="D18" s="14" t="s">
        <v>410</v>
      </c>
      <c r="E18" s="14" t="s">
        <v>411</v>
      </c>
      <c r="F18" s="14" t="s">
        <v>412</v>
      </c>
      <c r="G18" s="14" t="s">
        <v>328</v>
      </c>
      <c r="H18" s="14" t="s">
        <v>413</v>
      </c>
      <c r="I18" s="14" t="s">
        <v>414</v>
      </c>
    </row>
    <row r="20" spans="1:9" x14ac:dyDescent="0.25">
      <c r="A20" s="13" t="s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416</v>
      </c>
    </row>
    <row r="2" spans="1:5" x14ac:dyDescent="0.25">
      <c r="A2" s="2" t="s">
        <v>417</v>
      </c>
    </row>
    <row r="4" spans="1:5" ht="30" customHeight="1" x14ac:dyDescent="0.25">
      <c r="A4" s="5" t="s">
        <v>418</v>
      </c>
      <c r="B4" s="5" t="s">
        <v>419</v>
      </c>
      <c r="C4" s="5" t="s">
        <v>420</v>
      </c>
      <c r="D4" s="5" t="s">
        <v>421</v>
      </c>
      <c r="E4" s="5" t="s">
        <v>144</v>
      </c>
    </row>
    <row r="5" spans="1:5" x14ac:dyDescent="0.25">
      <c r="A5" s="6" t="s">
        <v>422</v>
      </c>
      <c r="B5" s="6" t="s">
        <v>423</v>
      </c>
      <c r="C5" s="6" t="s">
        <v>424</v>
      </c>
      <c r="D5" s="6">
        <v>5</v>
      </c>
      <c r="E5" s="6" t="s">
        <v>425</v>
      </c>
    </row>
    <row r="6" spans="1:5" x14ac:dyDescent="0.25">
      <c r="A6" s="6" t="s">
        <v>426</v>
      </c>
      <c r="B6" s="6" t="s">
        <v>423</v>
      </c>
      <c r="C6" s="6" t="s">
        <v>427</v>
      </c>
      <c r="D6" s="6">
        <v>6</v>
      </c>
      <c r="E6" s="6" t="s">
        <v>181</v>
      </c>
    </row>
    <row r="7" spans="1:5" x14ac:dyDescent="0.25">
      <c r="A7" s="6" t="s">
        <v>428</v>
      </c>
      <c r="B7" s="6" t="s">
        <v>429</v>
      </c>
      <c r="C7" s="6" t="s">
        <v>430</v>
      </c>
      <c r="D7" s="6">
        <v>8</v>
      </c>
      <c r="E7" s="6" t="s">
        <v>186</v>
      </c>
    </row>
    <row r="8" spans="1:5" x14ac:dyDescent="0.25">
      <c r="A8" s="6" t="s">
        <v>431</v>
      </c>
      <c r="B8" s="6" t="s">
        <v>429</v>
      </c>
      <c r="C8" s="6" t="s">
        <v>118</v>
      </c>
      <c r="D8" s="6">
        <v>3</v>
      </c>
      <c r="E8" s="6" t="s">
        <v>176</v>
      </c>
    </row>
    <row r="9" spans="1:5" x14ac:dyDescent="0.25">
      <c r="A9" s="6" t="s">
        <v>432</v>
      </c>
      <c r="B9" s="6" t="s">
        <v>429</v>
      </c>
      <c r="C9" s="6" t="s">
        <v>433</v>
      </c>
      <c r="D9" s="6">
        <v>3</v>
      </c>
      <c r="E9" s="6" t="s">
        <v>434</v>
      </c>
    </row>
    <row r="10" spans="1:5" x14ac:dyDescent="0.25">
      <c r="A10" s="6" t="s">
        <v>435</v>
      </c>
      <c r="B10" s="6" t="s">
        <v>436</v>
      </c>
      <c r="C10" s="6" t="s">
        <v>437</v>
      </c>
      <c r="D10" s="6">
        <v>5</v>
      </c>
      <c r="E10" s="6" t="s">
        <v>189</v>
      </c>
    </row>
    <row r="11" spans="1:5" x14ac:dyDescent="0.25">
      <c r="A11" s="6" t="s">
        <v>438</v>
      </c>
      <c r="B11" s="6" t="s">
        <v>436</v>
      </c>
      <c r="C11" s="6" t="s">
        <v>439</v>
      </c>
      <c r="D11" s="6">
        <v>5</v>
      </c>
      <c r="E11" s="6" t="s">
        <v>194</v>
      </c>
    </row>
    <row r="12" spans="1:5" x14ac:dyDescent="0.25">
      <c r="A12" s="14" t="s">
        <v>440</v>
      </c>
      <c r="B12" s="14" t="s">
        <v>429</v>
      </c>
      <c r="C12" s="14" t="s">
        <v>441</v>
      </c>
      <c r="D12" s="14">
        <v>3</v>
      </c>
      <c r="E12" s="14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Connectors</vt:lpstr>
      <vt:lpstr>Cables</vt:lpstr>
      <vt:lpstr>PCBs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2026-09-11T14:07:51Z</dcterms:modified>
</cp:coreProperties>
</file>