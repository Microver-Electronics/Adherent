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6ddebaa61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ca079fa1bf4020"/>
    <x:sheet xmlns:r="http://schemas.openxmlformats.org/officeDocument/2006/relationships" name="BOM" sheetId="2" r:id="R345d9ac0df1f4cbf"/>
    <x:sheet xmlns:r="http://schemas.openxmlformats.org/officeDocument/2006/relationships" name="PCBs" sheetId="3" r:id="R6fdd4ad302c64308"/>
    <x:sheet xmlns:r="http://schemas.openxmlformats.org/officeDocument/2006/relationships" name="Connectors" sheetId="4" r:id="Rca6d5e3647124de2"/>
    <x:sheet xmlns:r="http://schemas.openxmlformats.org/officeDocument/2006/relationships" name="Cables" sheetId="5" r:id="R8e989bb7f8fc4332"/>
    <x:sheet xmlns:r="http://schemas.openxmlformats.org/officeDocument/2006/relationships" name="Fuses" sheetId="6" r:id="Race40e9a8ab9481b"/>
    <x:sheet xmlns:r="http://schemas.openxmlformats.org/officeDocument/2006/relationships" name="Power" sheetId="7" r:id="Rd958b683bb5e4a31"/>
    <x:sheet xmlns:r="http://schemas.openxmlformats.org/officeDocument/2006/relationships" name="OpenItems" sheetId="8" r:id="Raf2c63e3e76345df"/>
    <x:sheet xmlns:r="http://schemas.openxmlformats.org/officeDocument/2006/relationships" name="Sources" sheetId="9" r:id="Rffc7b5049a82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"/>
    <x:numFmt numFmtId="203" formatCode="0%"/>
  </x:numFmts>
  <x:fonts count="8">
    <x:font>
      <x:sz val="11"/>
      <x:name val="Carlito"/>
    </x:font>
    <x:font>
      <x:sz val="10"/>
      <x:color rgb="FF172B3A"/>
      <x:name val="Aptos"/>
    </x:font>
    <x:font>
      <x:b/>
      <x:sz val="18"/>
      <x:color rgb="FFFFFFFF"/>
      <x:name val="Aptos"/>
    </x:font>
    <x:font>
      <x:b/>
      <x:sz val="10"/>
      <x:color rgb="FF172B3A"/>
      <x:name val="Aptos"/>
    </x:font>
    <x:font>
      <x:sz val="10"/>
      <x:color rgb="FF175B98"/>
      <x:name val="Aptos"/>
    </x:font>
    <x:font>
      <x:b/>
      <x:sz val="11"/>
      <x:name val="Carlito"/>
    </x:font>
    <x:font>
      <x:sz val="11"/>
      <x:color rgb="FF175B98"/>
      <x:name val="Carlito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2A3B"/>
      </x:patternFill>
    </x:fill>
    <x:fill>
      <x:patternFill patternType="solid">
        <x:fgColor rgb="FFDCE8EE"/>
      </x:patternFill>
    </x:fill>
    <x:fill>
      <x:patternFill patternType="solid">
        <x:fgColor rgb="FFF2F6F8"/>
      </x:patternFill>
    </x:fill>
  </x:fills>
  <x:borders count="2">
    <x:border/>
    <x:border>
      <x:left style="thin">
        <x:color rgb="FFD8E0E5"/>
      </x:left>
      <x:right style="thin">
        <x:color rgb="FFD8E0E5"/>
      </x:right>
      <x:top style="thin">
        <x:color rgb="FFD8E0E5"/>
      </x:top>
      <x:bottom style="thin">
        <x:color rgb="FFD8E0E5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2" fontId="4" fillId="4" borderId="1" xfId="0" applyNumberFormat="1" applyFont="1" applyFill="1" applyBorder="1" applyAlignment="1">
      <x:alignment vertical="top" wrapText="1"/>
    </x:xf>
    <x:xf numFmtId="202" fontId="1" fillId="4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80e2956614305" /><Relationship Type="http://schemas.openxmlformats.org/officeDocument/2006/relationships/theme" Target="/xl/theme/theme1.xml" Id="Rbb388b4081874ae0" /><Relationship Type="http://schemas.openxmlformats.org/officeDocument/2006/relationships/sharedStrings" Target="/xl/sharedStrings.xml" Id="Rdf74f369ce1c491b" /><Relationship Type="http://schemas.openxmlformats.org/officeDocument/2006/relationships/worksheet" Target="/xl/worksheets/sheet1.xml" Id="Rf3ca079fa1bf4020" /><Relationship Type="http://schemas.openxmlformats.org/officeDocument/2006/relationships/worksheet" Target="/xl/worksheets/sheet2.xml" Id="R345d9ac0df1f4cbf" /><Relationship Type="http://schemas.openxmlformats.org/officeDocument/2006/relationships/worksheet" Target="/xl/worksheets/sheet3.xml" Id="R6fdd4ad302c64308" /><Relationship Type="http://schemas.openxmlformats.org/officeDocument/2006/relationships/worksheet" Target="/xl/worksheets/sheet4.xml" Id="Rca6d5e3647124de2" /><Relationship Type="http://schemas.openxmlformats.org/officeDocument/2006/relationships/worksheet" Target="/xl/worksheets/sheet5.xml" Id="R8e989bb7f8fc4332" /><Relationship Type="http://schemas.openxmlformats.org/officeDocument/2006/relationships/worksheet" Target="/xl/worksheets/sheet6.xml" Id="Race40e9a8ab9481b" /><Relationship Type="http://schemas.openxmlformats.org/officeDocument/2006/relationships/worksheet" Target="/xl/worksheets/sheet7.xml" Id="Rd958b683bb5e4a31" /><Relationship Type="http://schemas.openxmlformats.org/officeDocument/2006/relationships/worksheet" Target="/xl/worksheets/sheet8.xml" Id="Raf2c63e3e76345df" /><Relationship Type="http://schemas.openxmlformats.org/officeDocument/2006/relationships/worksheet" Target="/xl/worksheets/sheet9.xml" Id="Rffc7b5049a8244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90" hidden="0" customWidth="1"/>
    <x:col min="3" max="3" width="86" hidden="0" customWidth="1"/>
  </x:cols>
  <x:sheetData>
    <x:row r="1" ht="32" customHeight="1">
      <x:c r="A1" s="5" t="str">
        <x:v>Adherent electrical baseline R27</x:v>
      </x:c>
      <x:c r="B1" s="5"/>
      <x:c r="C1" s="5"/>
    </x:row>
    <x:row r="2" ht="42" customHeight="1">
      <x:c r="A2" s="3" t="str">
        <x:v>2026-09-24 | Aligned documentation baseline. Engineering release remains on HOLD until listed evidence and hardware tests are complete.</x:v>
      </x:c>
      <x:c r="B2" s="3"/>
      <x:c r="C2" s="3"/>
    </x:row>
    <x:row r="3">
      <x:c r="A3" s="3"/>
      <x:c r="B3" s="3"/>
      <x:c r="C3" s="3"/>
    </x:row>
    <x:row r="4" ht="36" customHeight="1">
      <x:c r="A4" s="8" t="str">
        <x:v>Topic</x:v>
      </x:c>
      <x:c r="B4" s="8" t="str">
        <x:v>Current baseline</x:v>
      </x:c>
      <x:c r="C4" s="8" t="str">
        <x:v>Release meaning</x:v>
      </x:c>
    </x:row>
    <x:row r="5" ht="44" customHeight="1">
      <x:c r="A5" s="9" t="str">
        <x:v>Architecture</x:v>
      </x:c>
      <x:c r="B5" s="9" t="str">
        <x:v>1 MAINCTRL, 1 SYSCTRL, 10 LANECTRL, 1 IOCTRL. Two custom designs / 11 custom assemblies.</x:v>
      </x:c>
      <x:c r="C5" s="9" t="str">
        <x:v>70 motors, 70 momentary buttons and 70 status LEDs in lane rows.</x:v>
      </x:c>
    </x:row>
    <x:row r="6" ht="44" customHeight="1">
      <x:c r="A6" s="10" t="str">
        <x:v>Power</x:v>
      </x:c>
      <x:c r="B6" s="10" t="str">
        <x:v>One RSP-500-24 (24 V / 21 A / 504 W) feeds SYSCTRL. One onboard SMPS generates 12 V; power connectors belong to SYSCTRL.</x:v>
      </x:c>
      <x:c r="C6" s="10" t="str">
        <x:v>No separate distribution assembly or 12 V/48 V PSU. Branch implementation, SMPS selection and complete capacity remain pending.</x:v>
      </x:c>
    </x:row>
    <x:row r="7" ht="44" customHeight="1">
      <x:c r="A7" s="9" t="str">
        <x:v>Direct sensors</x:v>
      </x:c>
      <x:c r="B7" s="9" t="str">
        <x:v>Gantry sensors wire directly to SYSCTRL; door sensors directly to IOCTRL. No junction boxes.</x:v>
      </x:c>
      <x:c r="C7" s="9" t="str">
        <x:v>W14/W22 retired. W15/W23 lengths and direct lead arrangements need mechanical routing.</x:v>
      </x:c>
    </x:row>
    <x:row r="8" ht="44" customHeight="1">
      <x:c r="A8" s="10" t="str">
        <x:v>Quantity rules</x:v>
      </x:c>
      <x:c r="B8" s="10" t="str">
        <x:v>BOM counts are per system. IN BOARD rows are included components, not extra assembled modules.</x:v>
      </x:c>
      <x:c r="C8" s="10" t="str">
        <x:v>BUY, BUILD, included, options and retired items are distinguished; do not sum all rows as a purchase count.</x:v>
      </x:c>
    </x:row>
    <x:row r="9" ht="44" customHeight="1">
      <x:c r="A9" s="9" t="str">
        <x:v>Sources</x:v>
      </x:c>
      <x:c r="B9" s="9" t="str">
        <x:v>Sources sheet links product evidence and supplied mechanical references.</x:v>
      </x:c>
      <x:c r="C9" s="9" t="str">
        <x:v>SELECTED means project choice; CANDIDATE/HOLD is not a purchase release.</x:v>
      </x:c>
    </x:row>
    <x:row r="10" ht="44" customHeight="1">
      <x:c r="A10" s="10" t="str">
        <x:v>Power calculations</x:v>
      </x:c>
      <x:c r="B10" s="10" t="str">
        <x:v>Blue numeric cells are planning assumptions; missing currents are counted explicitly.</x:v>
      </x:c>
      <x:c r="C10" s="10" t="str">
        <x:v>Known subtotals exclude unknown loads. No PASS while currents or converter rating are missing.</x:v>
      </x:c>
    </x:row>
    <x:row r="11" ht="44" customHeight="1">
      <x:c r="A11" s="9" t="str">
        <x:v>Harnesses</x:v>
      </x:c>
      <x:c r="B11" s="9" t="str">
        <x:v>W01-W39 retained. W04/W06/W07 are internalized and have zero external-harness quantity; W14/W22 retired. 28 required external cable types.</x:v>
      </x:c>
      <x:c r="C11" s="9" t="str">
        <x:v>Five route lengths remain unknown. 109.5 m is only the known external routing subtotal; W03 route must be remeasured for the SYSCTRL input.</x:v>
      </x:c>
    </x:row>
    <x:row r="12" ht="44" customHeight="1">
      <x:c r="A12" s="10" t="str">
        <x:v>Scope exclusions</x:v>
      </x:c>
      <x:c r="B12" s="10" t="str">
        <x:v>No UPS, battery or cellular. Wi-Fi/BLE, camera/OCR, interior lighting and door actuators remain excluded. NFC antenna selected: Molex 1462362151.</x:v>
      </x:c>
      <x:c r="C12" s="10" t="str">
        <x:v>NFC reader/front-end and marker remain unselected. Both require interface and power budgeting; no payment terminal is approved.</x:v>
      </x:c>
    </x:row>
    <x:row r="13" ht="44" customHeight="1">
      <x:c r="A13" s="9" t="str">
        <x:v>Latest files</x:v>
      </x:c>
      <x:c r="B13" s="9" t="str">
        <x:v>Electrical_System_Level_Wiring_Diagram_R27.drawio; APDU_Design_Review_Questions_R27.pptx; this workbook.</x:v>
      </x:c>
      <x:c r="C13" s="9" t="str">
        <x:v>Old revisions remain in Git history only. No RAR deliverables.</x:v>
      </x:c>
    </x:row>
    <x:row r="14" ht="44" customHeight="1">
      <x:c r="A14" s="10" t="str">
        <x:v>Brackets / CAD</x:v>
      </x:c>
      <x:c r="B14" s="10" t="str">
        <x:v>LANECTRL front bracket uses LANE DRAWING SPACE FOR UMIT.DWG.</x:v>
      </x:c>
      <x:c r="C14" s="10" t="str">
        <x:v>DWG stored as supplied; mounting/PCB/button fit and provisional board models need verification.</x:v>
      </x:c>
    </x:row>
    <x:row r="15" ht="44" customHeight="1">
      <x:c r="A15" s="9" t="str">
        <x:v>Release gates</x:v>
      </x:c>
      <x:c r="B15" s="9" t="str">
        <x:v>Corrected against merged SYSCTRL diagram and NFC antenna selection. F1-F18 are branch references; protection implementation TBC. OpenItems O01-O16.</x:v>
      </x:c>
      <x:c r="C15" s="9" t="str">
        <x:v>No 17-DIN-holder purchase assumption. Component register synchronized. Presentation remains an earlier review snapshot; use this workbook for current electrical schedules.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7" hidden="0" customWidth="1"/>
    <x:col min="4" max="4" width="12" hidden="0" customWidth="1"/>
    <x:col min="5" max="5" width="19" hidden="0" customWidth="1"/>
    <x:col min="6" max="6" width="27" hidden="0" customWidth="1"/>
    <x:col min="7" max="7" width="75" hidden="0" customWidth="1"/>
    <x:col min="8" max="8" width="17" hidden="0" customWidth="1"/>
  </x:cols>
  <x:sheetData>
    <x:row r="1" ht="32" customHeight="1">
      <x:c r="A1" s="5" t="str">
        <x:v>System procurement and assembly register</x:v>
      </x:c>
      <x:c r="B1" s="5"/>
      <x:c r="C1" s="5"/>
      <x:c r="D1" s="5"/>
      <x:c r="E1" s="5"/>
      <x:c r="F1" s="5"/>
      <x:c r="G1" s="5"/>
      <x:c r="H1" s="5"/>
    </x:row>
    <x:row r="2" ht="42" customHeight="1">
      <x:c r="A2" s="3" t="str">
        <x:v>Counts per machine. Component rows included in custom assemblies must not be ordered a second time as modules.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8" t="str">
        <x:v>Ref</x:v>
      </x:c>
      <x:c r="B4" s="8" t="str">
        <x:v>Item</x:v>
      </x:c>
      <x:c r="C4" s="8" t="str">
        <x:v>Part / model</x:v>
      </x:c>
      <x:c r="D4" s="8" t="str">
        <x:v>Qty / system</x:v>
      </x:c>
      <x:c r="E4" s="8" t="str">
        <x:v>Supply level</x:v>
      </x:c>
      <x:c r="F4" s="8" t="str">
        <x:v>Status</x:v>
      </x:c>
      <x:c r="G4" s="8" t="str">
        <x:v>Specification / dependency</x:v>
      </x:c>
      <x:c r="H4" s="8" t="str">
        <x:v>Evidence</x:v>
      </x:c>
    </x:row>
    <x:row r="5" ht="44" customHeight="1">
      <x:c r="A5" s="9" t="str">
        <x:v>PSU1</x:v>
      </x:c>
      <x:c r="B5" s="9" t="str">
        <x:v>24 V AC/DC power supply</x:v>
      </x:c>
      <x:c r="C5" s="9" t="str">
        <x:v>Mean Well RSP-500-24</x:v>
      </x:c>
      <x:c r="D5" s="9" t="n">
        <x:v>1</x:v>
      </x:c>
      <x:c r="E5" s="9" t="str">
        <x:v>BUY</x:v>
      </x:c>
      <x:c r="F5" s="9" t="str">
        <x:v>SELECTED</x:v>
      </x:c>
      <x:c r="G5" s="9" t="str">
        <x:v>24 V / 21 A / 504 W; system sizing not yet closed.</x:v>
      </x:c>
      <x:c r="H5" s="9" t="str">
        <x:v>S01/S02</x:v>
      </x:c>
    </x:row>
    <x:row r="6" ht="44" customHeight="1">
      <x:c r="A6" s="10" t="str">
        <x:v>MAINCTRL</x:v>
      </x:c>
      <x:c r="B6" s="10" t="str">
        <x:v>MAINCTRL controller</x:v>
      </x:c>
      <x:c r="C6" s="10" t="str">
        <x:v>MYIR MYD-YF13X</x:v>
      </x:c>
      <x:c r="D6" s="10" t="n">
        <x:v>1</x:v>
      </x:c>
      <x:c r="E6" s="10" t="str">
        <x:v>BUY</x:v>
      </x:c>
      <x:c r="F6" s="10" t="str">
        <x:v>SELECTED / engineering pending</x:v>
      </x:c>
      <x:c r="G6" s="10" t="str">
        <x:v>S03; exact SKU, connector pinout/BSP and populated options TBC.</x:v>
      </x:c>
      <x:c r="H6" s="10" t="str">
        <x:v>S01/S03/S04</x:v>
      </x:c>
    </x:row>
    <x:row r="7" ht="44" customHeight="1">
      <x:c r="A7" s="9" t="str">
        <x:v>SYSCTRL</x:v>
      </x:c>
      <x:c r="B7" s="9" t="str">
        <x:v>SYSCTRL controller</x:v>
      </x:c>
      <x:c r="C7" s="9" t="str">
        <x:v>HW_ADHERENT_SYSCTRL_R1</x:v>
      </x:c>
      <x:c r="D7" s="9" t="n">
        <x:v>1</x:v>
      </x:c>
      <x:c r="E7" s="9" t="str">
        <x:v>BUILD</x:v>
      </x:c>
      <x:c r="F7" s="9" t="str">
        <x:v>SELECTED / engineering pending</x:v>
      </x:c>
      <x:c r="G7" s="9" t="str">
        <x:v>Single 24 V system input; integrated power routing/connectors and one 12 V SMPS. Protection and local servo rail pending.</x:v>
      </x:c>
      <x:c r="H7" s="9" t="str">
        <x:v>S01/S03/S04</x:v>
      </x:c>
    </x:row>
    <x:row r="8" ht="44" customHeight="1">
      <x:c r="A8" s="10" t="str">
        <x:v>LANECTRL</x:v>
      </x:c>
      <x:c r="B8" s="10" t="str">
        <x:v>LANECTRL controller</x:v>
      </x:c>
      <x:c r="C8" s="10" t="str">
        <x:v>HW_ADHERENT_LANECTRL_R1</x:v>
      </x:c>
      <x:c r="D8" s="10" t="n">
        <x:v>10</x:v>
      </x:c>
      <x:c r="E8" s="10" t="str">
        <x:v>BUILD</x:v>
      </x:c>
      <x:c r="F8" s="10" t="str">
        <x:v>SELECTED / engineering pending</x:v>
      </x:c>
      <x:c r="G8" s="10" t="str">
        <x:v>70 channels total; H-bridge/TVS and bracket integration pending.</x:v>
      </x:c>
      <x:c r="H8" s="10" t="str">
        <x:v>S01/S03/S04</x:v>
      </x:c>
    </x:row>
    <x:row r="9" ht="44" customHeight="1">
      <x:c r="A9" s="9" t="str">
        <x:v>IOCTRL</x:v>
      </x:c>
      <x:c r="B9" s="9" t="str">
        <x:v>IOCTRL controller</x:v>
      </x:c>
      <x:c r="C9" s="9" t="str">
        <x:v>Waveshare ESP32-S3-ETH-8DI-8RO</x:v>
      </x:c>
      <x:c r="D9" s="9" t="n">
        <x:v>1</x:v>
      </x:c>
      <x:c r="E9" s="9" t="str">
        <x:v>BUY</x:v>
      </x:c>
      <x:c r="F9" s="9" t="str">
        <x:v>SELECTED / engineering pending</x:v>
      </x:c>
      <x:c r="G9" s="9" t="str">
        <x:v>Common Ethernet-port RS485 version; firmware protocol pending.</x:v>
      </x:c>
      <x:c r="H9" s="9" t="str">
        <x:v>S01/S03/S04</x:v>
      </x:c>
    </x:row>
    <x:row r="10" ht="44" customHeight="1">
      <x:c r="A10" s="10" t="str">
        <x:v>J1</x:v>
      </x:c>
      <x:c r="B10" s="10" t="str">
        <x:v>AC entry/filter</x:v>
      </x:c>
      <x:c r="C10" s="10" t="str">
        <x:v>Schaffner FN9264-6-06 candidate</x:v>
      </x:c>
      <x:c r="D10" s="10" t="n">
        <x:v>1</x:v>
      </x:c>
      <x:c r="E10" s="10" t="str">
        <x:v>BUY</x:v>
      </x:c>
      <x:c r="F10" s="10" t="str">
        <x:v>CANDIDATE</x:v>
      </x:c>
      <x:c r="G10" s="10" t="str">
        <x:v>Exact switch/fuse functions and inrush coordination not verified.</x:v>
      </x:c>
      <x:c r="H10" s="10" t="str">
        <x:v>O06/O14</x:v>
      </x:c>
    </x:row>
    <x:row r="11" ht="44" customHeight="1">
      <x:c r="A11" s="9" t="str">
        <x:v>J2</x:v>
      </x:c>
      <x:c r="B11" s="9" t="str">
        <x:v>Shielded Cat5e RJ45 F/F panel adapter</x:v>
      </x:c>
      <x:c r="C11" s="9" t="str">
        <x:v>McMaster-Carr 1422N13</x:v>
      </x:c>
      <x:c r="D11" s="9" t="n">
        <x:v>1</x:v>
      </x:c>
      <x:c r="E11" s="9" t="str">
        <x:v>BUY</x:v>
      </x:c>
      <x:c r="F11" s="9" t="str">
        <x:v>SELECTED</x:v>
      </x:c>
      <x:c r="G11" s="9" t="str">
        <x:v>Rear panel; mounting fasteners included; 0.95 in cutout.</x:v>
      </x:c>
      <x:c r="H11" s="9" t="str">
        <x:v>S05</x:v>
      </x:c>
    </x:row>
    <x:row r="12" ht="44" customHeight="1">
      <x:c r="A12" s="10" t="str">
        <x:v>DIST24</x:v>
      </x:c>
      <x:c r="B12" s="10" t="str">
        <x:v>SYSCTRL 24 V distribution function</x:v>
      </x:c>
      <x:c r="C12" s="10" t="str">
        <x:v>Internal PCB routing / connectors; MPN TBC</x:v>
      </x:c>
      <x:c r="D12" s="10" t="n">
        <x:v>1</x:v>
      </x:c>
      <x:c r="E12" s="10" t="str">
        <x:v>IN SYSCTRL</x:v>
      </x:c>
      <x:c r="F12" s="10" t="str">
        <x:v>INTERNAL / HOLD</x:v>
      </x:c>
      <x:c r="G12" s="10" t="str">
        <x:v>Functional allocation within SYSCTRL; not an independent distribution assembly. Do not buy as a separate module.</x:v>
      </x:c>
      <x:c r="H12" s="10" t="str">
        <x:v>O06</x:v>
      </x:c>
    </x:row>
    <x:row r="13" ht="44" customHeight="1">
      <x:c r="A13" s="9" t="str">
        <x:v>DIST12</x:v>
      </x:c>
      <x:c r="B13" s="9" t="str">
        <x:v>SYSCTRL derived 12 V distribution function</x:v>
      </x:c>
      <x:c r="C13" s="9" t="str">
        <x:v>Internal PCB routing / connectors; MPN TBC</x:v>
      </x:c>
      <x:c r="D13" s="9" t="n">
        <x:v>1</x:v>
      </x:c>
      <x:c r="E13" s="9" t="str">
        <x:v>IN SYSCTRL</x:v>
      </x:c>
      <x:c r="F13" s="9" t="str">
        <x:v>INTERNAL / HOLD</x:v>
      </x:c>
      <x:c r="G13" s="9" t="str">
        <x:v>Functional allocation within SYSCTRL; not an independent distribution assembly. Do not buy as a separate module.</x:v>
      </x:c>
      <x:c r="H13" s="9" t="str">
        <x:v>O02/O06</x:v>
      </x:c>
    </x:row>
    <x:row r="14" ht="44" customHeight="1">
      <x:c r="A14" s="10" t="str">
        <x:v>DIN-F</x:v>
      </x:c>
      <x:c r="B14" s="10" t="str">
        <x:v>Previous DIN fuse-holder assumption</x:v>
      </x:c>
      <x:c r="C14" s="10" t="str">
        <x:v>No released holder selection</x:v>
      </x:c>
      <x:c r="D14" s="10" t="n">
        <x:v>0</x:v>
      </x:c>
      <x:c r="E14" s="10" t="str">
        <x:v>RETIRED</x:v>
      </x:c>
      <x:c r="F14" s="10" t="str">
        <x:v>WITHDRAWN</x:v>
      </x:c>
      <x:c r="G14" s="10" t="str">
        <x:v>The previous 17 x Phoenix 3046032 assumption is withdrawn. Final branch-protection implementation and physical quantities TBC.</x:v>
      </x:c>
      <x:c r="H14" s="10" t="str">
        <x:v>S11/O06</x:v>
      </x:c>
    </x:row>
    <x:row r="15" ht="44" customHeight="1">
      <x:c r="A15" s="9" t="str">
        <x:v>F1–F18</x:v>
      </x:c>
      <x:c r="B15" s="9" t="str">
        <x:v>Branch-protection references</x:v>
      </x:c>
      <x:c r="C15" s="9" t="str">
        <x:v>TBC by branch design</x:v>
      </x:c>
      <x:c r="D15" s="9" t="n">
        <x:v>18</x:v>
      </x:c>
      <x:c r="E15" s="9" t="str">
        <x:v>FUNCTIONAL COUNT</x:v>
      </x:c>
      <x:c r="F15" s="9" t="str">
        <x:v>HOLD</x:v>
      </x:c>
      <x:c r="G15" s="9" t="str">
        <x:v>18 protected branch references, not 18 finalized fuse elements. Select technology, placement, ratings and actual purchase counts during SYSCTRL design.</x:v>
      </x:c>
      <x:c r="H15" s="9" t="str">
        <x:v>Fuses/O06</x:v>
      </x:c>
    </x:row>
    <x:row r="16" ht="44" customHeight="1">
      <x:c r="A16" s="10" t="str">
        <x:v>BUCK12</x:v>
      </x:c>
      <x:c r="B16" s="10" t="str">
        <x:v>Onboard 24 V-to-12 V SMPS</x:v>
      </x:c>
      <x:c r="C16" s="10" t="str">
        <x:v>TBC</x:v>
      </x:c>
      <x:c r="D16" s="10" t="n">
        <x:v>1</x:v>
      </x:c>
      <x:c r="E16" s="10" t="str">
        <x:v>IN SYSCTRL</x:v>
      </x:c>
      <x:c r="F16" s="10" t="str">
        <x:v>HOLD</x:v>
      </x:c>
      <x:c r="G16" s="10" t="str">
        <x:v>One conversion stage inside SYSCTRL. Input/output rails are internal; no external converter or distribution module.</x:v>
      </x:c>
      <x:c r="H16" s="10" t="str">
        <x:v>O02</x:v>
      </x:c>
    </x:row>
    <x:row r="17" ht="44" customHeight="1">
      <x:c r="A17" s="9" t="str">
        <x:v>SERVO-REG</x:v>
      </x:c>
      <x:c r="B17" s="9" t="str">
        <x:v>On-board servo regulator</x:v>
      </x:c>
      <x:c r="C17" s="9" t="str">
        <x:v>TBC</x:v>
      </x:c>
      <x:c r="D17" s="9" t="n">
        <x:v>1</x:v>
      </x:c>
      <x:c r="E17" s="9" t="str">
        <x:v>IN SYSCTRL</x:v>
      </x:c>
      <x:c r="F17" s="9" t="str">
        <x:v>HOLD</x:v>
      </x:c>
      <x:c r="G17" s="9" t="str">
        <x:v>Confirm DS3218 supply; avoid duplicate external regulator procurement.</x:v>
      </x:c>
      <x:c r="H17" s="9" t="str">
        <x:v>O10</x:v>
      </x:c>
    </x:row>
    <x:row r="18" ht="44" customHeight="1">
      <x:c r="A18" s="10" t="str">
        <x:v>CONVEYOR</x:v>
      </x:c>
      <x:c r="B18" s="10" t="str">
        <x:v>Conveyor assembly with DC motor</x:v>
      </x:c>
      <x:c r="C18" s="10" t="str">
        <x:v>CB002-24V-573mm</x:v>
      </x:c>
      <x:c r="D18" s="10" t="n">
        <x:v>70</x:v>
      </x:c>
      <x:c r="E18" s="10" t="str">
        <x:v>BUY</x:v>
      </x:c>
      <x:c r="F18" s="10" t="str">
        <x:v>SELECTED / interface pending</x:v>
      </x:c>
      <x:c r="G18" s="10" t="str">
        <x:v>7 per row; standalone motor MPN unknown.</x:v>
      </x:c>
      <x:c r="H18" s="10" t="str">
        <x:v>S06/O03</x:v>
      </x:c>
    </x:row>
    <x:row r="19" ht="44" customHeight="1">
      <x:c r="A19" s="9" t="str">
        <x:v>X/Z</x:v>
      </x:c>
      <x:c r="B19" s="9" t="str">
        <x:v>Stepper, brake and supplied driver</x:v>
      </x:c>
      <x:c r="C19" s="9" t="str">
        <x:v>Emtech 57BYG250-76</x:v>
      </x:c>
      <x:c r="D19" s="9" t="n">
        <x:v>2</x:v>
      </x:c>
      <x:c r="E19" s="9" t="str">
        <x:v>BUY</x:v>
      </x:c>
      <x:c r="F19" s="9" t="str">
        <x:v>HOLD</x:v>
      </x:c>
      <x:c r="G19" s="9" t="str">
        <x:v>Mechanical BOM scope; 24 V and integrated/separate driver packaging unconfirmed.</x:v>
      </x:c>
      <x:c r="H19" s="9" t="str">
        <x:v>S07/O01</x:v>
      </x:c>
    </x:row>
    <x:row r="20" ht="44" customHeight="1">
      <x:c r="A20" s="10" t="str">
        <x:v>X-GB</x:v>
      </x:c>
      <x:c r="B20" s="10" t="str">
        <x:v>3:1 planetary gearbox</x:v>
      </x:c>
      <x:c r="C20" s="10" t="str">
        <x:v>Emtech matching model TBC</x:v>
      </x:c>
      <x:c r="D20" s="10" t="n">
        <x:v>1</x:v>
      </x:c>
      <x:c r="E20" s="10" t="str">
        <x:v>BUY</x:v>
      </x:c>
      <x:c r="F20" s="10" t="str">
        <x:v>HOLD</x:v>
      </x:c>
      <x:c r="G20" s="10" t="str">
        <x:v>X-axis only.</x:v>
      </x:c>
      <x:c r="H20" s="10" t="str">
        <x:v>S07</x:v>
      </x:c>
    </x:row>
    <x:row r="21" ht="44" customHeight="1">
      <x:c r="A21" s="9" t="str">
        <x:v>SERVO</x:v>
      </x:c>
      <x:c r="B21" s="9" t="str">
        <x:v>Basket tilt servo</x:v>
      </x:c>
      <x:c r="C21" s="9" t="str">
        <x:v>Miuzei DS3218, exact variant TBC</x:v>
      </x:c>
      <x:c r="D21" s="9" t="n">
        <x:v>1</x:v>
      </x:c>
      <x:c r="E21" s="9" t="str">
        <x:v>BUY</x:v>
      </x:c>
      <x:c r="F21" s="9" t="str">
        <x:v>HOLD</x:v>
      </x:c>
      <x:c r="G21" s="9" t="str">
        <x:v>Supply/stall current and travel variant pending.</x:v>
      </x:c>
      <x:c r="H21" s="9" t="str">
        <x:v>S07/O10</x:v>
      </x:c>
    </x:row>
    <x:row r="22" ht="44" customHeight="1">
      <x:c r="A22" s="10" t="str">
        <x:v>CHUCK</x:v>
      </x:c>
      <x:c r="B22" s="10" t="str">
        <x:v>Chuck rotate stepper/gearbox</x:v>
      </x:c>
      <x:c r="C22" s="10" t="str">
        <x:v>Catalog/CAD reference 6627T113</x:v>
      </x:c>
      <x:c r="D22" s="10" t="n">
        <x:v>1</x:v>
      </x:c>
      <x:c r="E22" s="10" t="str">
        <x:v>BUY</x:v>
      </x:c>
      <x:c r="F22" s="10" t="str">
        <x:v>HOLD</x:v>
      </x:c>
      <x:c r="G22" s="10" t="str">
        <x:v>Manufacturer MPN and driver/phase current pending.</x:v>
      </x:c>
      <x:c r="H22" s="10" t="str">
        <x:v>S01/O10</x:v>
      </x:c>
    </x:row>
    <x:row r="23" ht="44" customHeight="1">
      <x:c r="A23" s="9" t="str">
        <x:v>JAWS</x:v>
      </x:c>
      <x:c r="B23" s="9" t="str">
        <x:v>Chuck jaw stepper</x:v>
      </x:c>
      <x:c r="C23" s="9" t="str">
        <x:v>Catalog/CAD reference 6627T357</x:v>
      </x:c>
      <x:c r="D23" s="9" t="n">
        <x:v>1</x:v>
      </x:c>
      <x:c r="E23" s="9" t="str">
        <x:v>BUY</x:v>
      </x:c>
      <x:c r="F23" s="9" t="str">
        <x:v>HOLD</x:v>
      </x:c>
      <x:c r="G23" s="9" t="str">
        <x:v>Manufacturer MPN and driver/phase current pending.</x:v>
      </x:c>
      <x:c r="H23" s="9" t="str">
        <x:v>S01/O10</x:v>
      </x:c>
    </x:row>
    <x:row r="24" ht="44" customHeight="1">
      <x:c r="A24" s="10" t="str">
        <x:v>X-SENS</x:v>
      </x:c>
      <x:c r="B24" s="10" t="str">
        <x:v>Gantry X prewired sensors</x:v>
      </x:c>
      <x:c r="C24" s="10" t="str">
        <x:v>Omron EE-SX672-WR</x:v>
      </x:c>
      <x:c r="D24" s="10" t="n">
        <x:v>3</x:v>
      </x:c>
      <x:c r="E24" s="10" t="str">
        <x:v>BUY</x:v>
      </x:c>
      <x:c r="F24" s="10" t="str">
        <x:v>CANDIDATE</x:v>
      </x:c>
      <x:c r="G24" s="10" t="str">
        <x:v>Confirm full suffix and mounting; supplied 1 m lead.</x:v>
      </x:c>
      <x:c r="H24" s="10" t="str">
        <x:v>S07</x:v>
      </x:c>
    </x:row>
    <x:row r="25" ht="44" customHeight="1">
      <x:c r="A25" s="9" t="str">
        <x:v>Z-SENS</x:v>
      </x:c>
      <x:c r="B25" s="9" t="str">
        <x:v>Gantry Z prewired sensors</x:v>
      </x:c>
      <x:c r="C25" s="9" t="str">
        <x:v>Omron EE-SX674-WR</x:v>
      </x:c>
      <x:c r="D25" s="9" t="n">
        <x:v>3</x:v>
      </x:c>
      <x:c r="E25" s="9" t="str">
        <x:v>BUY</x:v>
      </x:c>
      <x:c r="F25" s="9" t="str">
        <x:v>CANDIDATE</x:v>
      </x:c>
      <x:c r="G25" s="9" t="str">
        <x:v>Confirm full suffix and mounting; supplied 1 m lead.</x:v>
      </x:c>
      <x:c r="H25" s="9" t="str">
        <x:v>S07</x:v>
      </x:c>
    </x:row>
    <x:row r="26" ht="44" customHeight="1">
      <x:c r="A26" s="10" t="str">
        <x:v>JAW-SENS</x:v>
      </x:c>
      <x:c r="B26" s="10" t="str">
        <x:v>Jaw home sensor</x:v>
      </x:c>
      <x:c r="C26" s="10" t="str">
        <x:v>TBC</x:v>
      </x:c>
      <x:c r="D26" s="10" t="n">
        <x:v>1</x:v>
      </x:c>
      <x:c r="E26" s="10" t="str">
        <x:v>BUY</x:v>
      </x:c>
      <x:c r="F26" s="10" t="str">
        <x:v>HOLD</x:v>
      </x:c>
      <x:c r="G26" s="10" t="str">
        <x:v>Electrical type, mounting and lead length pending.</x:v>
      </x:c>
      <x:c r="H26" s="10" t="str">
        <x:v>O10</x:v>
      </x:c>
    </x:row>
    <x:row r="27" ht="44" customHeight="1">
      <x:c r="A27" s="9" t="str">
        <x:v>K1–K4</x:v>
      </x:c>
      <x:c r="B27" s="9" t="str">
        <x:v>12 V electromagnetic latches</x:v>
      </x:c>
      <x:c r="C27" s="9" t="str">
        <x:v>TBC</x:v>
      </x:c>
      <x:c r="D27" s="9" t="n">
        <x:v>4</x:v>
      </x:c>
      <x:c r="E27" s="9" t="str">
        <x:v>BUY</x:v>
      </x:c>
      <x:c r="F27" s="9" t="str">
        <x:v>HOLD</x:v>
      </x:c>
      <x:c r="G27" s="9" t="str">
        <x:v>Main/retrieval/return/table; duty, suppression and fail behavior pending.</x:v>
      </x:c>
      <x:c r="H27" s="9" t="str">
        <x:v>O09</x:v>
      </x:c>
    </x:row>
    <x:row r="28" ht="44" customHeight="1">
      <x:c r="A28" s="10" t="str">
        <x:v>DI1–DI5</x:v>
      </x:c>
      <x:c r="B28" s="10" t="str">
        <x:v>Door position sensors</x:v>
      </x:c>
      <x:c r="C28" s="10" t="str">
        <x:v>TBC</x:v>
      </x:c>
      <x:c r="D28" s="10" t="n">
        <x:v>5</x:v>
      </x:c>
      <x:c r="E28" s="10" t="str">
        <x:v>BUY</x:v>
      </x:c>
      <x:c r="F28" s="10" t="str">
        <x:v>HOLD</x:v>
      </x:c>
      <x:c r="G28" s="10" t="str">
        <x:v>Main/retrieval/return/table/front access; compatible with IOCTRL DI.</x:v>
      </x:c>
      <x:c r="H28" s="10" t="str">
        <x:v>O08/O09</x:v>
      </x:c>
    </x:row>
    <x:row r="29" ht="44" customHeight="1">
      <x:c r="A29" s="9" t="str">
        <x:v>STACK</x:v>
      </x:c>
      <x:c r="B29" s="9" t="str">
        <x:v>12 V status light</x:v>
      </x:c>
      <x:c r="C29" s="9" t="str">
        <x:v>TBC</x:v>
      </x:c>
      <x:c r="D29" s="9" t="n">
        <x:v>1</x:v>
      </x:c>
      <x:c r="E29" s="9" t="str">
        <x:v>BUY</x:v>
      </x:c>
      <x:c r="F29" s="9" t="str">
        <x:v>HOLD</x:v>
      </x:c>
      <x:c r="G29" s="9" t="str">
        <x:v>Output topology and W36 routing pending.</x:v>
      </x:c>
      <x:c r="H29" s="9" t="str">
        <x:v>S01/O15</x:v>
      </x:c>
    </x:row>
    <x:row r="30" ht="44" customHeight="1">
      <x:c r="A30" s="10" t="str">
        <x:v>MARKER</x:v>
      </x:c>
      <x:c r="B30" s="10" t="str">
        <x:v>Label marker / printer</x:v>
      </x:c>
      <x:c r="C30" s="10" t="str">
        <x:v>TBC</x:v>
      </x:c>
      <x:c r="D30" s="10" t="n">
        <x:v>1</x:v>
      </x:c>
      <x:c r="E30" s="10" t="str">
        <x:v>BUY</x:v>
      </x:c>
      <x:c r="F30" s="10" t="str">
        <x:v>HOLD</x:v>
      </x:c>
      <x:c r="G30" s="10" t="str">
        <x:v>Mandatory functional placeholder; no PSU or interface choice invented.</x:v>
      </x:c>
      <x:c r="H30" s="10" t="str">
        <x:v>O11</x:v>
      </x:c>
    </x:row>
    <x:row r="31" ht="44" customHeight="1">
      <x:c r="A31" s="9" t="str">
        <x:v>SW-LANE</x:v>
      </x:c>
      <x:c r="B31" s="9" t="str">
        <x:v>Momentary lane command switches</x:v>
      </x:c>
      <x:c r="C31" s="9" t="str">
        <x:v>Omron B3F-4055 candidate</x:v>
      </x:c>
      <x:c r="D31" s="9" t="n">
        <x:v>70</x:v>
      </x:c>
      <x:c r="E31" s="9" t="str">
        <x:v>IN LANECTRL</x:v>
      </x:c>
      <x:c r="F31" s="9" t="str">
        <x:v>CANDIDATE</x:v>
      </x:c>
      <x:c r="G31" s="9" t="str">
        <x:v>7 per PCB; PCB component procurement only.</x:v>
      </x:c>
      <x:c r="H31" s="9" t="str">
        <x:v>S13/O12</x:v>
      </x:c>
    </x:row>
    <x:row r="32" ht="44" customHeight="1">
      <x:c r="A32" s="10" t="str">
        <x:v>LED-LANE</x:v>
      </x:c>
      <x:c r="B32" s="10" t="str">
        <x:v>Lane status LEDs</x:v>
      </x:c>
      <x:c r="C32" s="10" t="str">
        <x:v>Kingbright WP7113ID candidate</x:v>
      </x:c>
      <x:c r="D32" s="10" t="n">
        <x:v>70</x:v>
      </x:c>
      <x:c r="E32" s="10" t="str">
        <x:v>IN LANECTRL</x:v>
      </x:c>
      <x:c r="F32" s="10" t="str">
        <x:v>CANDIDATE</x:v>
      </x:c>
      <x:c r="G32" s="10" t="str">
        <x:v>7 per PCB; bezel spacing and resistor sizing pending.</x:v>
      </x:c>
      <x:c r="H32" s="10" t="str">
        <x:v>S01/O12</x:v>
      </x:c>
    </x:row>
    <x:row r="33" ht="44" customHeight="1">
      <x:c r="A33" s="9" t="str">
        <x:v>DRV-LANE</x:v>
      </x:c>
      <x:c r="B33" s="9" t="str">
        <x:v>Conveyor H-bridges</x:v>
      </x:c>
      <x:c r="C33" s="9" t="str">
        <x:v>DRV8876 candidate, not released</x:v>
      </x:c>
      <x:c r="D33" s="9" t="n">
        <x:v>70</x:v>
      </x:c>
      <x:c r="E33" s="9" t="str">
        <x:v>IN LANECTRL</x:v>
      </x:c>
      <x:c r="F33" s="9" t="str">
        <x:v>HOLD</x:v>
      </x:c>
      <x:c r="G33" s="9" t="str">
        <x:v>3.5 A peak is not a continuous rating; motor testing and PCB thermal design required.</x:v>
      </x:c>
      <x:c r="H33" s="9" t="str">
        <x:v>S09/O03/O05</x:v>
      </x:c>
    </x:row>
    <x:row r="34" ht="44" customHeight="1">
      <x:c r="A34" s="10" t="str">
        <x:v>TVS-LANE</x:v>
      </x:c>
      <x:c r="B34" s="10" t="str">
        <x:v>Motor/rail transient suppression</x:v>
      </x:c>
      <x:c r="C34" s="10" t="str">
        <x:v>TBC; SMBJ33CA not approved</x:v>
      </x:c>
      <x:c r="D34" s="10" t="n">
        <x:v>70</x:v>
      </x:c>
      <x:c r="E34" s="10" t="str">
        <x:v>IN LANECTRL</x:v>
      </x:c>
      <x:c r="F34" s="10" t="str">
        <x:v>HOLD</x:v>
      </x:c>
      <x:c r="G34" s="10" t="str">
        <x:v>Topology/count provisional; clamp and energy coordination required.</x:v>
      </x:c>
      <x:c r="H34" s="10" t="str">
        <x:v>S10/O05</x:v>
      </x:c>
    </x:row>
    <x:row r="35" ht="44" customHeight="1">
      <x:c r="A35" s="9" t="str">
        <x:v>CAN-TERM</x:v>
      </x:c>
      <x:c r="B35" s="9" t="str">
        <x:v>CAN end termination</x:v>
      </x:c>
      <x:c r="C35" s="9" t="str">
        <x:v>120 ohm candidate</x:v>
      </x:c>
      <x:c r="D35" s="9" t="n">
        <x:v>2</x:v>
      </x:c>
      <x:c r="E35" s="9" t="str">
        <x:v>IN BOARD/HARNESS</x:v>
      </x:c>
      <x:c r="F35" s="9" t="str">
        <x:v>CANDIDATE</x:v>
      </x:c>
      <x:c r="G35" s="9" t="str">
        <x:v>Physical bus ends MAINCTRL and LANECTRL-01; no third SYSCTRL terminator.</x:v>
      </x:c>
      <x:c r="H35" s="9" t="str">
        <x:v>S01</x:v>
      </x:c>
    </x:row>
    <x:row r="36" ht="44" customHeight="1">
      <x:c r="A36" s="10" t="str">
        <x:v>RS485-TERM</x:v>
      </x:c>
      <x:c r="B36" s="10" t="str">
        <x:v>RS485 end termination</x:v>
      </x:c>
      <x:c r="C36" s="10" t="str">
        <x:v>120 ohm candidate</x:v>
      </x:c>
      <x:c r="D36" s="10" t="n">
        <x:v>2</x:v>
      </x:c>
      <x:c r="E36" s="10" t="str">
        <x:v>IN BOARD/HARNESS</x:v>
      </x:c>
      <x:c r="F36" s="10" t="str">
        <x:v>CANDIDATE</x:v>
      </x:c>
      <x:c r="G36" s="10" t="str">
        <x:v>Check existing MYIR/Waveshare termination before adding parts.</x:v>
      </x:c>
      <x:c r="H36" s="10" t="str">
        <x:v>S04/O08</x:v>
      </x:c>
    </x:row>
    <x:row r="37" ht="44" customHeight="1">
      <x:c r="A37" s="9" t="str">
        <x:v>PE</x:v>
      </x:c>
      <x:c r="B37" s="9" t="str">
        <x:v>Protective-earth bonding assembly</x:v>
      </x:c>
      <x:c r="C37" s="9" t="str">
        <x:v>Lugs/conductors/terminals TBC</x:v>
      </x:c>
      <x:c r="D37" s="9" t="n">
        <x:v>1</x:v>
      </x:c>
      <x:c r="E37" s="9" t="str">
        <x:v>BUILD</x:v>
      </x:c>
      <x:c r="F37" s="9" t="str">
        <x:v>HOLD</x:v>
      </x:c>
      <x:c r="G37" s="9" t="str">
        <x:v>Multiple bonds; final counts and gauge pending.</x:v>
      </x:c>
      <x:c r="H37" s="9" t="str">
        <x:v>O14</x:v>
      </x:c>
    </x:row>
    <x:row r="38" ht="44" customHeight="1">
      <x:c r="A38" s="10" t="str">
        <x:v>HARNESS</x:v>
      </x:c>
      <x:c r="B38" s="10" t="str">
        <x:v>Cable/housing/crimp set</x:v>
      </x:c>
      <x:c r="C38" s="10" t="str">
        <x:v>See Cables and Connectors</x:v>
      </x:c>
      <x:c r="D38" s="10" t="n">
        <x:v>1</x:v>
      </x:c>
      <x:c r="E38" s="10" t="str">
        <x:v>BUILD</x:v>
      </x:c>
      <x:c r="F38" s="10" t="str">
        <x:v>HOLD</x:v>
      </x:c>
      <x:c r="G38" s="10" t="str">
        <x:v>Counts and lengths derive from schedules; no generic 5 A per-pin approval.</x:v>
      </x:c>
      <x:c r="H38" s="10" t="str">
        <x:v>O06/O15</x:v>
      </x:c>
    </x:row>
    <x:row r="39" ht="44" customHeight="1">
      <x:c r="A39" s="9" t="str">
        <x:v>BRACKET</x:v>
      </x:c>
      <x:c r="B39" s="9" t="str">
        <x:v>LANECTRL front metal bracket</x:v>
      </x:c>
      <x:c r="C39" s="9" t="str">
        <x:v>LANE DRAWING SPACE FOR UMIT.DWG</x:v>
      </x:c>
      <x:c r="D39" s="9" t="n">
        <x:v>10</x:v>
      </x:c>
      <x:c r="E39" s="9" t="str">
        <x:v>MECHANICAL</x:v>
      </x:c>
      <x:c r="F39" s="9" t="str">
        <x:v>REFERENCE</x:v>
      </x:c>
      <x:c r="G39" s="9" t="str">
        <x:v>One per row assumed; confirm drawing scope and fit before manufacture.</x:v>
      </x:c>
      <x:c r="H39" s="9" t="str">
        <x:v>S08/O12</x:v>
      </x:c>
    </x:row>
    <x:row r="40" ht="44" customHeight="1">
      <x:c r="A40" s="10" t="str">
        <x:v>WIFI</x:v>
      </x:c>
      <x:c r="B40" s="10" t="str">
        <x:v>USB Wi-Fi/BT and antenna</x:v>
      </x:c>
      <x:c r="C40" s="10" t="str">
        <x:v>TBC</x:v>
      </x:c>
      <x:c r="D40" s="10" t="n">
        <x:v>0</x:v>
      </x:c>
      <x:c r="E40" s="10" t="str">
        <x:v>OPTION</x:v>
      </x:c>
      <x:c r="F40" s="10" t="str">
        <x:v>EXCLUDED</x:v>
      </x:c>
      <x:c r="G40" s="10" t="str">
        <x:v>Not approved; excluded from committed quantities and power subtotal.</x:v>
      </x:c>
      <x:c r="H40" s="10" t="str">
        <x:v>O13</x:v>
      </x:c>
    </x:row>
    <x:row r="41" ht="44" customHeight="1">
      <x:c r="A41" s="9" t="str">
        <x:v>LIGHT</x:v>
      </x:c>
      <x:c r="B41" s="9" t="str">
        <x:v>Interior light zones</x:v>
      </x:c>
      <x:c r="C41" s="9" t="str">
        <x:v>TBC</x:v>
      </x:c>
      <x:c r="D41" s="9" t="n">
        <x:v>0</x:v>
      </x:c>
      <x:c r="E41" s="9" t="str">
        <x:v>OPTION</x:v>
      </x:c>
      <x:c r="F41" s="9" t="str">
        <x:v>EXCLUDED</x:v>
      </x:c>
      <x:c r="G41" s="9" t="str">
        <x:v>Not approved; excluded from committed quantities and power subtotal.</x:v>
      </x:c>
      <x:c r="H41" s="9" t="str">
        <x:v>O13</x:v>
      </x:c>
    </x:row>
    <x:row r="42" ht="44" customHeight="1">
      <x:c r="A42" s="10" t="str">
        <x:v>CAM</x:v>
      </x:c>
      <x:c r="B42" s="10" t="str">
        <x:v>Camera/OCR and light</x:v>
      </x:c>
      <x:c r="C42" s="10" t="str">
        <x:v>TBC</x:v>
      </x:c>
      <x:c r="D42" s="10" t="n">
        <x:v>0</x:v>
      </x:c>
      <x:c r="E42" s="10" t="str">
        <x:v>OPTION</x:v>
      </x:c>
      <x:c r="F42" s="10" t="str">
        <x:v>EXCLUDED</x:v>
      </x:c>
      <x:c r="G42" s="10" t="str">
        <x:v>Not approved; excluded from committed quantities and power subtotal.</x:v>
      </x:c>
      <x:c r="H42" s="10" t="str">
        <x:v>O13</x:v>
      </x:c>
    </x:row>
    <x:row r="43" ht="44" customHeight="1">
      <x:c r="A43" s="9" t="str">
        <x:v>NFC</x:v>
      </x:c>
      <x:c r="B43" s="9" t="str">
        <x:v>NFC reader / front-end function</x:v>
      </x:c>
      <x:c r="C43" s="9" t="str">
        <x:v>TBC</x:v>
      </x:c>
      <x:c r="D43" s="9" t="n">
        <x:v>1</x:v>
      </x:c>
      <x:c r="E43" s="9" t="str">
        <x:v>FUNCTIONAL ALLOWANCE</x:v>
      </x:c>
      <x:c r="F43" s="9" t="str">
        <x:v>HOLD O16</x:v>
      </x:c>
      <x:c r="G43" s="9" t="str">
        <x:v>One reader function planned for selected antenna; IC/module, board allocation, host interface, supply and implementation quantity pending. Not a selected payment terminal.</x:v>
      </x:c>
      <x:c r="H43" s="9" t="str">
        <x:v>O16</x:v>
      </x:c>
    </x:row>
    <x:row r="44" ht="44" customHeight="1">
      <x:c r="A44" s="10" t="str">
        <x:v>DOORACT</x:v>
      </x:c>
      <x:c r="B44" s="10" t="str">
        <x:v>Undefined door actuators</x:v>
      </x:c>
      <x:c r="C44" s="10" t="str">
        <x:v>TBC</x:v>
      </x:c>
      <x:c r="D44" s="10" t="n">
        <x:v>0</x:v>
      </x:c>
      <x:c r="E44" s="10" t="str">
        <x:v>OPTION</x:v>
      </x:c>
      <x:c r="F44" s="10" t="str">
        <x:v>EXCLUDED</x:v>
      </x:c>
      <x:c r="G44" s="10" t="str">
        <x:v>Not approved; excluded from committed quantities and power subtotal.</x:v>
      </x:c>
      <x:c r="H44" s="10" t="str">
        <x:v>O13</x:v>
      </x:c>
    </x:row>
    <x:row r="45" ht="44" customHeight="1">
      <x:c r="A45" s="9" t="str">
        <x:v>PSU2</x:v>
      </x:c>
      <x:c r="B45" s="9" t="str">
        <x:v>Separate 12 V PSU</x:v>
      </x:c>
      <x:c r="C45" s="9" t="str">
        <x:v>Not fitted</x:v>
      </x:c>
      <x:c r="D45" s="9" t="n">
        <x:v>0</x:v>
      </x:c>
      <x:c r="E45" s="9" t="str">
        <x:v>RETIRED</x:v>
      </x:c>
      <x:c r="F45" s="9" t="str">
        <x:v>EXCLUDED</x:v>
      </x:c>
      <x:c r="G45" s="9" t="str">
        <x:v>Do not purchase; removed by recorded project decisions.</x:v>
      </x:c>
      <x:c r="H45" s="9" t="str">
        <x:v>S01</x:v>
      </x:c>
    </x:row>
    <x:row r="46" ht="44" customHeight="1">
      <x:c r="A46" s="10" t="str">
        <x:v>PSU3</x:v>
      </x:c>
      <x:c r="B46" s="10" t="str">
        <x:v>Separate 48 V PSU</x:v>
      </x:c>
      <x:c r="C46" s="10" t="str">
        <x:v>Not fitted</x:v>
      </x:c>
      <x:c r="D46" s="10" t="n">
        <x:v>0</x:v>
      </x:c>
      <x:c r="E46" s="10" t="str">
        <x:v>RETIRED</x:v>
      </x:c>
      <x:c r="F46" s="10" t="str">
        <x:v>EXCLUDED</x:v>
      </x:c>
      <x:c r="G46" s="10" t="str">
        <x:v>Do not purchase; removed by recorded project decisions.</x:v>
      </x:c>
      <x:c r="H46" s="10" t="str">
        <x:v>S01</x:v>
      </x:c>
    </x:row>
    <x:row r="47" ht="44" customHeight="1">
      <x:c r="A47" s="9" t="str">
        <x:v>UPS</x:v>
      </x:c>
      <x:c r="B47" s="9" t="str">
        <x:v>UPS/battery</x:v>
      </x:c>
      <x:c r="C47" s="9" t="str">
        <x:v>Not fitted</x:v>
      </x:c>
      <x:c r="D47" s="9" t="n">
        <x:v>0</x:v>
      </x:c>
      <x:c r="E47" s="9" t="str">
        <x:v>RETIRED</x:v>
      </x:c>
      <x:c r="F47" s="9" t="str">
        <x:v>EXCLUDED</x:v>
      </x:c>
      <x:c r="G47" s="9" t="str">
        <x:v>Do not purchase; removed by recorded project decisions.</x:v>
      </x:c>
      <x:c r="H47" s="9" t="str">
        <x:v>S01</x:v>
      </x:c>
    </x:row>
    <x:row r="48" ht="44" customHeight="1">
      <x:c r="A48" s="10" t="str">
        <x:v>LTE</x:v>
      </x:c>
      <x:c r="B48" s="10" t="str">
        <x:v>Cellular hardware</x:v>
      </x:c>
      <x:c r="C48" s="10" t="str">
        <x:v>Not fitted</x:v>
      </x:c>
      <x:c r="D48" s="10" t="n">
        <x:v>0</x:v>
      </x:c>
      <x:c r="E48" s="10" t="str">
        <x:v>RETIRED</x:v>
      </x:c>
      <x:c r="F48" s="10" t="str">
        <x:v>EXCLUDED</x:v>
      </x:c>
      <x:c r="G48" s="10" t="str">
        <x:v>Do not purchase; removed by recorded project decisions.</x:v>
      </x:c>
      <x:c r="H48" s="10" t="str">
        <x:v>S01</x:v>
      </x:c>
    </x:row>
    <x:row r="49" ht="75" customHeight="1">
      <x:c r="A49" s="32" t="str">
        <x:v>ANT-NFC</x:v>
      </x:c>
      <x:c r="B49" s="32" t="str">
        <x:v>NFC antenna</x:v>
      </x:c>
      <x:c r="C49" s="32" t="str">
        <x:v>Molex 1462362151</x:v>
      </x:c>
      <x:c r="D49" s="32" t="n">
        <x:v>1</x:v>
      </x:c>
      <x:c r="E49" s="32" t="str">
        <x:v>BUY</x:v>
      </x:c>
      <x:c r="F49" s="32" t="str">
        <x:v>SELECTED / integration pending</x:v>
      </x:c>
      <x:c r="G49" s="32" t="str">
        <x:v>13.56 MHz; 15 x 15 x 0.27 mm; adhesive; 102 mm cable; 2.40 uH. One per machine planning quantity. Reader matching, termination and mounting TBC.</x:v>
      </x:c>
      <x:c r="H49" s="32" t="str">
        <x:v>S14/S15/O16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7" hidden="0" customWidth="1"/>
    <x:col min="3" max="3" width="21" hidden="0" customWidth="1"/>
    <x:col min="4" max="4" width="9" hidden="0" customWidth="1"/>
    <x:col min="5" max="5" width="47" hidden="0" customWidth="1"/>
    <x:col min="6" max="6" width="55" hidden="0" customWidth="1"/>
    <x:col min="7" max="7" width="35" hidden="0" customWidth="1"/>
    <x:col min="8" max="8" width="57" hidden="0" customWidth="1"/>
  </x:cols>
  <x:sheetData>
    <x:row r="1" ht="32" customHeight="1">
      <x:c r="A1" s="5" t="str">
        <x:v>Board architecture and firmware</x:v>
      </x:c>
      <x:c r="B1" s="5"/>
      <x:c r="C1" s="5"/>
      <x:c r="D1" s="5"/>
      <x:c r="E1" s="5"/>
      <x:c r="F1" s="5"/>
      <x:c r="G1" s="5"/>
      <x:c r="H1" s="5"/>
    </x:row>
    <x:row r="2" ht="42" customHeight="1">
      <x:c r="A2" s="3" t="str">
        <x:v>Names match HW folder names. MAINCTRL and IOCTRL are purchased boards; SYSCTRL and LANECTRL are custom designs.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8" t="str">
        <x:v>Board</x:v>
      </x:c>
      <x:c r="B4" s="8" t="str">
        <x:v>Hardware identifier / product</x:v>
      </x:c>
      <x:c r="C4" s="8" t="str">
        <x:v>Type</x:v>
      </x:c>
      <x:c r="D4" s="8" t="str">
        <x:v>Qty</x:v>
      </x:c>
      <x:c r="E4" s="8" t="str">
        <x:v>Power connection</x:v>
      </x:c>
      <x:c r="F4" s="8" t="str">
        <x:v>Function / communication</x:v>
      </x:c>
      <x:c r="G4" s="8" t="str">
        <x:v>Firmware identifier</x:v>
      </x:c>
      <x:c r="H4" s="8" t="str">
        <x:v>Evidence / qualification</x:v>
      </x:c>
    </x:row>
    <x:row r="5" ht="44" customHeight="1">
      <x:c r="A5" s="9" t="str">
        <x:v>MAINCTRL</x:v>
      </x:c>
      <x:c r="B5" s="9" t="str">
        <x:v>MYIR MYD-YF13X</x:v>
      </x:c>
      <x:c r="C5" s="9" t="str">
        <x:v>COTS</x:v>
      </x:c>
      <x:c r="D5" s="9" t="n">
        <x:v>1</x:v>
      </x:c>
      <x:c r="E5" s="9" t="str">
        <x:v>12 V via F13/W05</x:v>
      </x:c>
      <x:c r="F5" s="9" t="str">
        <x:v>CAN master; RS485 master; site Ethernet</x:v>
      </x:c>
      <x:c r="G5" s="9" t="str">
        <x:v>FW_ADHERENT_MAINCTRL_R1</x:v>
      </x:c>
      <x:c r="H5" s="9" t="str">
        <x:v>S03; exact SKU, connector pinout/BSP and populated options TBC.</x:v>
      </x:c>
    </x:row>
    <x:row r="6" ht="44" customHeight="1">
      <x:c r="A6" s="10" t="str">
        <x:v>SYSCTRL</x:v>
      </x:c>
      <x:c r="B6" s="10" t="str">
        <x:v>HW_ADHERENT_SYSCTRL_R1</x:v>
      </x:c>
      <x:c r="C6" s="10" t="str">
        <x:v>Custom assembly</x:v>
      </x:c>
      <x:c r="D6" s="10" t="n">
        <x:v>1</x:v>
      </x:c>
      <x:c r="E6" s="10" t="str">
        <x:v>24 V directly from PSU1 via W03; input connector MPN TBC</x:v>
      </x:c>
      <x:c r="F6" s="10" t="str">
        <x:v>Gantry/labeling, internal power routing and connectors, one onboard 24 V-to-12 V SMPS</x:v>
      </x:c>
      <x:c r="G6" s="10" t="str">
        <x:v>FW_ADHERENT_SYSCTRL_R1</x:v>
      </x:c>
      <x:c r="H6" s="10" t="str">
        <x:v>SMPS, branch protection and connector pinouts pending. W04/W06/W07 are no longer external harnesses.</x:v>
      </x:c>
    </x:row>
    <x:row r="7" ht="44" customHeight="1">
      <x:c r="A7" s="9" t="str">
        <x:v>LANECTRL</x:v>
      </x:c>
      <x:c r="B7" s="9" t="str">
        <x:v>HW_ADHERENT_LANECTRL_R1</x:v>
      </x:c>
      <x:c r="C7" s="9" t="str">
        <x:v>Custom assembly</x:v>
      </x:c>
      <x:c r="D7" s="9" t="n">
        <x:v>10</x:v>
      </x:c>
      <x:c r="E7" s="9" t="str">
        <x:v>24 V via F1–F10/W24; 12 V via F14/W25/W26</x:v>
      </x:c>
      <x:c r="F7" s="9" t="str">
        <x:v>7 motors, feedbacks, buttons and LEDs per row; CAN</x:v>
      </x:c>
      <x:c r="G7" s="9" t="str">
        <x:v>FW_ADHERENT_LANECTRL_R1</x:v>
      </x:c>
      <x:c r="H7" s="9" t="str">
        <x:v>70 channels total; H-bridge/TVS and bracket integration pending.</x:v>
      </x:c>
    </x:row>
    <x:row r="8" ht="44" customHeight="1">
      <x:c r="A8" s="10" t="str">
        <x:v>IOCTRL</x:v>
      </x:c>
      <x:c r="B8" s="10" t="str">
        <x:v>Waveshare ESP32-S3-ETH-8DI-8RO</x:v>
      </x:c>
      <x:c r="C8" s="10" t="str">
        <x:v>COTS</x:v>
      </x:c>
      <x:c r="D8" s="10" t="n">
        <x:v>1</x:v>
      </x:c>
      <x:c r="E8" s="10" t="str">
        <x:v>24 V module F17/W34; 12 V contacts F18/W35</x:v>
      </x:c>
      <x:c r="F8" s="10" t="str">
        <x:v>RS485; RO1–4 latches; DI1–5 sensors; RO5–8 reserved</x:v>
      </x:c>
      <x:c r="G8" s="10" t="str">
        <x:v>FW_ADHERENT_IOCTRL_R1</x:v>
      </x:c>
      <x:c r="H8" s="10" t="str">
        <x:v>Common Ethernet-port RS485 version; firmware protocol pending.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31" hidden="0" customWidth="1"/>
    <x:col min="4" max="4" width="47" hidden="0" customWidth="1"/>
    <x:col min="5" max="5" width="42" hidden="0" customWidth="1"/>
    <x:col min="6" max="6" width="47" hidden="0" customWidth="1"/>
    <x:col min="7" max="7" width="12" hidden="0" customWidth="1"/>
    <x:col min="8" max="8" width="25" hidden="0" customWidth="1"/>
    <x:col min="9" max="9" width="62" hidden="0" customWidth="1"/>
  </x:cols>
  <x:sheetData>
    <x:row r="1" ht="32" customHeight="1">
      <x:c r="A1" s="5" t="str">
        <x:v>Connector and interface schedule</x:v>
      </x:c>
      <x:c r="B1" s="5"/>
      <x:c r="C1" s="5"/>
      <x:c r="D1" s="5"/>
      <x:c r="E1" s="5"/>
      <x:c r="F1" s="5"/>
      <x:c r="G1" s="5"/>
      <x:c r="H1" s="5"/>
      <x:c r="I1" s="5"/>
    </x:row>
    <x:row r="2" ht="42" customHeight="1">
      <x:c r="A2" s="3" t="str">
        <x:v>Quantities count interface circuits/positions, not finalized connector housings. SYSCTRL contains the power connection area; no separate distribution unit.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8" t="str">
        <x:v>Ref</x:v>
      </x:c>
      <x:c r="B4" s="8" t="str">
        <x:v>Interface</x:v>
      </x:c>
      <x:c r="C4" s="8" t="str">
        <x:v>Board / location</x:v>
      </x:c>
      <x:c r="D4" s="8" t="str">
        <x:v>Connector type</x:v>
      </x:c>
      <x:c r="E4" s="8" t="str">
        <x:v>Board-side / supplier part</x:v>
      </x:c>
      <x:c r="F4" s="8" t="str">
        <x:v>Cable-side / mating part</x:v>
      </x:c>
      <x:c r="G4" s="8" t="str">
        <x:v>Qty / system</x:v>
      </x:c>
      <x:c r="H4" s="8" t="str">
        <x:v>Status</x:v>
      </x:c>
      <x:c r="I4" s="8" t="str">
        <x:v>Notes</x:v>
      </x:c>
    </x:row>
    <x:row r="5" ht="44" customHeight="1">
      <x:c r="A5" s="9" t="str">
        <x:v>J1</x:v>
      </x:c>
      <x:c r="B5" s="9" t="str">
        <x:v>AC mains inlet · filter · switch · fuse</x:v>
      </x:c>
      <x:c r="C5" s="9" t="str">
        <x:v>rear panel</x:v>
      </x:c>
      <x:c r="D5" s="9" t="str">
        <x:v>IEC inlet / filter candidate; main switching and fusing separate until verified</x:v>
      </x:c>
      <x:c r="E5" s="9" t="str">
        <x:v>Schaffner FN9264-6-06</x:v>
      </x:c>
      <x:c r="F5" s="9" t="str">
        <x:v>IEC C13 cord set</x:v>
      </x:c>
      <x:c r="G5" s="9" t="n">
        <x:v>1</x:v>
      </x:c>
      <x:c r="H5" s="9" t="str">
        <x:v>CANDIDATE / HOLD O06</x:v>
      </x:c>
      <x:c r="I5" s="9" t="str">
        <x:v>Final mating set, keying, gauge and derating require approval.</x:v>
      </x:c>
    </x:row>
    <x:row r="6" ht="44" customHeight="1">
      <x:c r="A6" s="10" t="str">
        <x:v>J2</x:v>
      </x:c>
      <x:c r="B6" s="10" t="str">
        <x:v>Ethernet · hard-wired LAN</x:v>
      </x:c>
      <x:c r="C6" s="10" t="str">
        <x:v>rear panel bulkhead · qty 1</x:v>
      </x:c>
      <x:c r="D6" s="10" t="str">
        <x:v>Shielded Cat5e RJ45 female/female, screw-on</x:v>
      </x:c>
      <x:c r="E6" s="10" t="str">
        <x:v>McMaster-Carr 1422N13</x:v>
      </x:c>
      <x:c r="F6" s="10" t="str">
        <x:v>Cat5e / Cat6 patch cord</x:v>
      </x:c>
      <x:c r="G6" s="10" t="n">
        <x:v>1</x:v>
      </x:c>
      <x:c r="H6" s="10" t="str">
        <x:v>SELECTED</x:v>
      </x:c>
      <x:c r="I6" s="10" t="str">
        <x:v>S05; 0.95 in panel cutout; one per system.</x:v>
      </x:c>
    </x:row>
    <x:row r="7" ht="44" customHeight="1">
      <x:c r="A7" s="9" t="str">
        <x:v>J3</x:v>
      </x:c>
      <x:c r="B7" s="9" t="str">
        <x:v>Wi-Fi / BT antenna</x:v>
      </x:c>
      <x:c r="C7" s="9" t="str">
        <x:v>rear panel</x:v>
      </x:c>
      <x:c r="D7" s="9" t="str">
        <x:v>RP-SMA bulkhead + 2.4 / 5 GHz dipole</x:v>
      </x:c>
      <x:c r="E7" s="9" t="str">
        <x:v>Taoglas TG.30.8113 (antenna)</x:v>
      </x:c>
      <x:c r="F7" s="9" t="str">
        <x:v>U.FL → RP-SMA bulkhead pigtail, 150 mm (from the USB Wi-Fi / BT module, optional)</x:v>
      </x:c>
      <x:c r="G7" s="9" t="n">
        <x:v>0</x:v>
      </x:c>
      <x:c r="H7" s="9" t="str">
        <x:v>OPTION / excluded</x:v>
      </x:c>
      <x:c r="I7" s="9" t="str">
        <x:v>Final mating set, keying, gauge and derating require approval.</x:v>
      </x:c>
    </x:row>
    <x:row r="8" ht="44" customHeight="1">
      <x:c r="A8" s="10" t="str">
        <x:v>F1–F18</x:v>
      </x:c>
      <x:c r="B8" s="10" t="str">
        <x:v>Branch-protection references</x:v>
      </x:c>
      <x:c r="C8" s="10" t="str">
        <x:v>SYSCTRL branches; final location TBC</x:v>
      </x:c>
      <x:c r="D8" s="10" t="str">
        <x:v>Protection technology / package TBC</x:v>
      </x:c>
      <x:c r="E8" s="10" t="str">
        <x:v>TBC</x:v>
      </x:c>
      <x:c r="F8" s="10" t="str">
        <x:v>Not a connector schedule item</x:v>
      </x:c>
      <x:c r="G8" s="10"/>
      <x:c r="H8" s="10" t="str">
        <x:v>HOLD O06</x:v>
      </x:c>
      <x:c r="I8" s="10" t="str">
        <x:v>18 logical branch references in Fuses sheet; no committed DIN-holder count.</x:v>
      </x:c>
    </x:row>
    <x:row r="9" ht="44" customHeight="1">
      <x:c r="A9" s="9" t="str">
        <x:v>J47 / J48</x:v>
      </x:c>
      <x:c r="B9" s="9" t="str">
        <x:v>X/Z drive supply and control; proposed 24 V</x:v>
      </x:c>
      <x:c r="C9" s="9" t="str">
        <x:v>Emtech supplied drivers; packaging TBC</x:v>
      </x:c>
      <x:c r="D9" s="9" t="str">
        <x:v>manufacturer connector — TBC from datasheet</x:v>
      </x:c>
      <x:c r="E9" s="9" t="str">
        <x:v>–</x:v>
      </x:c>
      <x:c r="F9" s="9" t="str">
        <x:v>W29 / W30 power, W11 / W12 control</x:v>
      </x:c>
      <x:c r="G9" s="9" t="n">
        <x:v>2</x:v>
      </x:c>
      <x:c r="H9" s="9" t="str">
        <x:v>CANDIDATE</x:v>
      </x:c>
      <x:c r="I9" s="9" t="str">
        <x:v>Final mating set, keying, gauge and derating require approval.</x:v>
      </x:c>
    </x:row>
    <x:row r="10" ht="44" customHeight="1">
      <x:c r="A10" s="10" t="str">
        <x:v>J5</x:v>
      </x:c>
      <x:c r="B10" s="10" t="str">
        <x:v>LANECTRL 24 V motor feeder</x:v>
      </x:c>
      <x:c r="C10" s="10" t="str">
        <x:v>LANECTRL ×10</x:v>
      </x:c>
      <x:c r="D10" s="10" t="str">
        <x:v>Micro-Fit 3.0 4-pin dual row</x:v>
      </x:c>
      <x:c r="E10" s="10" t="str">
        <x:v>Molex 43045-0400</x:v>
      </x:c>
      <x:c r="F10" s="10" t="str">
        <x:v>Molex 43025-0400 + 43030-0007 crimp</x:v>
      </x:c>
      <x:c r="G10" s="10" t="n">
        <x:v>10</x:v>
      </x:c>
      <x:c r="H10" s="10" t="str">
        <x:v>CANDIDATE</x:v>
      </x:c>
      <x:c r="I10" s="10" t="str">
        <x:v>Candidate 4-pin footprint; pin/gauge current sharing not validated.</x:v>
      </x:c>
    </x:row>
    <x:row r="11" ht="44" customHeight="1">
      <x:c r="A11" s="9" t="str">
        <x:v>J6 / J7</x:v>
      </x:c>
      <x:c r="B11" s="9" t="str">
        <x:v>CAN + 12 V bus in / out (CAN_H, CAN_L, 12 V, GND, shield)</x:v>
      </x:c>
      <x:c r="C11" s="9" t="str">
        <x:v>LANECTRL ×10</x:v>
      </x:c>
      <x:c r="D11" s="9" t="str">
        <x:v>Micro-Fit 3.0 5-pin single row</x:v>
      </x:c>
      <x:c r="E11" s="9" t="str">
        <x:v>Molex 43650-0500</x:v>
      </x:c>
      <x:c r="F11" s="9" t="str">
        <x:v>Molex 43645-0500 + 43030-0007 crimp</x:v>
      </x:c>
      <x:c r="G11" s="9" t="n">
        <x:v>20</x:v>
      </x:c>
      <x:c r="H11" s="9" t="str">
        <x:v>CANDIDATE</x:v>
      </x:c>
      <x:c r="I11" s="9" t="str">
        <x:v>20 board ports; 19 used cable mates plus one unused end port; F14 protects shared 12 V.</x:v>
      </x:c>
    </x:row>
    <x:row r="12" ht="57" customHeight="1">
      <x:c r="A12" s="10" t="str">
        <x:v>SW1–7 / D1–7</x:v>
      </x:c>
      <x:c r="B12" s="10" t="str">
        <x:v>Momentary lane command + status LED</x:v>
      </x:c>
      <x:c r="C12" s="10" t="str">
        <x:v>LANECTRL ×10 (front edge of the board, behind the lane bezel)</x:v>
      </x:c>
      <x:c r="D12" s="10" t="str">
        <x:v>12 mm tactile pushbutton + 5 mm LED</x:v>
      </x:c>
      <x:c r="E12" s="10" t="str">
        <x:v>Omron B3F-4055 · Kingbright WP7113ID</x:v>
      </x:c>
      <x:c r="F12" s="10" t="str">
        <x:v>– (PCB-mounted on LANECTRL)</x:v>
      </x:c>
      <x:c r="G12" s="10" t="n">
        <x:v>70</x:v>
      </x:c>
      <x:c r="H12" s="10" t="str">
        <x:v>CANDIDATE</x:v>
      </x:c>
      <x:c r="I12" s="10" t="str">
        <x:v>70 switches and 70 LEDs; bracket alignment O12.</x:v>
      </x:c>
    </x:row>
    <x:row r="13" ht="57" customHeight="1">
      <x:c r="A13" s="9" t="str">
        <x:v>J8–J14</x:v>
      </x:c>
      <x:c r="B13" s="9" t="str">
        <x:v>Conveyor lanes 1–7 · motor +/−, feedback</x:v>
      </x:c>
      <x:c r="C13" s="9" t="str">
        <x:v>LANECTRL ×10</x:v>
      </x:c>
      <x:c r="D13" s="9" t="str">
        <x:v>Micro-Fit 3.0 3-pin candidate</x:v>
      </x:c>
      <x:c r="E13" s="9" t="str">
        <x:v>Molex 43650-0300</x:v>
      </x:c>
      <x:c r="F13" s="9" t="str">
        <x:v>Molex 43645-0300 + 43030-0007 · conveyor side: ferrules into its 3-pos pluggable screw terminal (pitch TBC)</x:v>
      </x:c>
      <x:c r="G13" s="9" t="n">
        <x:v>70</x:v>
      </x:c>
      <x:c r="H13" s="9" t="str">
        <x:v>HOLD O03</x:v>
      </x:c>
      <x:c r="I13" s="9" t="str">
        <x:v>Signal reference and H-bridge reversal compatibility unresolved.</x:v>
      </x:c>
    </x:row>
    <x:row r="14" ht="44" customHeight="1">
      <x:c r="A14" s="10" t="str">
        <x:v>J15 / J15A</x:v>
      </x:c>
      <x:c r="B14" s="10" t="str">
        <x:v>CAN in (from MAINCTRL) / CAN + 12 V out (to lane rows)</x:v>
      </x:c>
      <x:c r="C14" s="10" t="str">
        <x:v>SYSCTRL</x:v>
      </x:c>
      <x:c r="D14" s="10" t="str">
        <x:v>Micro-Fit 3.0 4-pin dual / 5-pin single row</x:v>
      </x:c>
      <x:c r="E14" s="10" t="str">
        <x:v>Molex 43045-0400 / 43650-0500</x:v>
      </x:c>
      <x:c r="F14" s="10" t="str">
        <x:v>Molex 43025-0400 / 43645-0500 + 43030-0007</x:v>
      </x:c>
      <x:c r="G14" s="10" t="n">
        <x:v>2</x:v>
      </x:c>
      <x:c r="H14" s="10" t="str">
        <x:v>CANDIDATE</x:v>
      </x:c>
      <x:c r="I14" s="10" t="str">
        <x:v>Final mating set, keying, gauge and derating require approval.</x:v>
      </x:c>
    </x:row>
    <x:row r="15" ht="44" customHeight="1">
      <x:c r="A15" s="9" t="str">
        <x:v>J16 / J17</x:v>
      </x:c>
      <x:c r="B15" s="9" t="str">
        <x:v>X / Z closed-loop drive control · PUL±, DIR±, ENA±, ALM±, brake +/−</x:v>
      </x:c>
      <x:c r="C15" s="9" t="str">
        <x:v>SYSCTRL</x:v>
      </x:c>
      <x:c r="D15" s="9" t="str">
        <x:v>Micro-Fit 3.0 10-pin dual row</x:v>
      </x:c>
      <x:c r="E15" s="9" t="str">
        <x:v>Molex 43045-1000</x:v>
      </x:c>
      <x:c r="F15" s="9" t="str">
        <x:v>Molex 43025-1000 + 43030-0007 crimp · drive-side mate TBC (Emtech)</x:v>
      </x:c>
      <x:c r="G15" s="9" t="n">
        <x:v>2</x:v>
      </x:c>
      <x:c r="H15" s="9" t="str">
        <x:v>HOLD O01</x:v>
      </x:c>
      <x:c r="I15" s="9" t="str">
        <x:v>Final mating set, keying, gauge and derating require approval.</x:v>
      </x:c>
    </x:row>
    <x:row r="16" ht="44" customHeight="1">
      <x:c r="A16" s="10" t="str">
        <x:v>J18 / J19</x:v>
      </x:c>
      <x:c r="B16" s="10" t="str">
        <x:v>Steppers · chuck rotate, chuck jaws</x:v>
      </x:c>
      <x:c r="C16" s="10" t="str">
        <x:v>SYSCTRL</x:v>
      </x:c>
      <x:c r="D16" s="10" t="str">
        <x:v>Micro-Fit 3.0 4-pin candidate</x:v>
      </x:c>
      <x:c r="E16" s="10" t="str">
        <x:v>Molex 43045-0400</x:v>
      </x:c>
      <x:c r="F16" s="10" t="str">
        <x:v>Molex 43025-0400 + 43030-0007 crimp</x:v>
      </x:c>
      <x:c r="G16" s="10" t="n">
        <x:v>2</x:v>
      </x:c>
      <x:c r="H16" s="10" t="str">
        <x:v>CANDIDATE</x:v>
      </x:c>
      <x:c r="I16" s="10" t="str">
        <x:v>Final mating set, keying, gauge and derating require approval.</x:v>
      </x:c>
    </x:row>
    <x:row r="17" ht="44" customHeight="1">
      <x:c r="A17" s="9" t="str">
        <x:v>J20</x:v>
      </x:c>
      <x:c r="B17" s="9" t="str">
        <x:v>Servo PWM + local regulated supply (voltage TBC)</x:v>
      </x:c>
      <x:c r="C17" s="9" t="str">
        <x:v>SYSCTRL → Z carriage</x:v>
      </x:c>
      <x:c r="D17" s="9" t="str">
        <x:v>Micro-Fit 3.0 3-pin single row</x:v>
      </x:c>
      <x:c r="E17" s="9" t="str">
        <x:v>Molex 43650-0300</x:v>
      </x:c>
      <x:c r="F17" s="9" t="str">
        <x:v>Molex 43645-0300 + 43030-0007 crimp</x:v>
      </x:c>
      <x:c r="G17" s="9" t="n">
        <x:v>1</x:v>
      </x:c>
      <x:c r="H17" s="9" t="str">
        <x:v>CANDIDATE</x:v>
      </x:c>
      <x:c r="I17" s="9" t="str">
        <x:v>Final mating set, keying, gauge and derating require approval.</x:v>
      </x:c>
    </x:row>
    <x:row r="18" ht="44" customHeight="1">
      <x:c r="A18" s="10" t="str">
        <x:v>J21–J27</x:v>
      </x:c>
      <x:c r="B18" s="10" t="str">
        <x:v>Opto sensors ×7 (6 gantry + jaw home)</x:v>
      </x:c>
      <x:c r="C18" s="10" t="str">
        <x:v>SYSCTRL</x:v>
      </x:c>
      <x:c r="D18" s="10" t="str">
        <x:v>Micro-Fit 3.0 3-pin single row</x:v>
      </x:c>
      <x:c r="E18" s="10" t="str">
        <x:v>Molex 43650-0300</x:v>
      </x:c>
      <x:c r="F18" s="10" t="str">
        <x:v>Mating housing/terminal candidate; EE-SX67x-WR supplied leads</x:v>
      </x:c>
      <x:c r="G18" s="10" t="n">
        <x:v>7</x:v>
      </x:c>
      <x:c r="H18" s="10" t="str">
        <x:v>CANDIDATE</x:v>
      </x:c>
      <x:c r="I18" s="10" t="str">
        <x:v>6 prewired gantry sensors plus 1 jaw sensor TBC; no assumed EE-1001 accessory.</x:v>
      </x:c>
    </x:row>
    <x:row r="19" ht="44" customHeight="1">
      <x:c r="A19" s="9" t="str">
        <x:v>J29</x:v>
      </x:c>
      <x:c r="B19" s="9" t="str">
        <x:v>Former external motor-rail input W06</x:v>
      </x:c>
      <x:c r="C19" s="9" t="str">
        <x:v>SYSCTRL internal function</x:v>
      </x:c>
      <x:c r="D19" s="9" t="str">
        <x:v>No external connector assigned</x:v>
      </x:c>
      <x:c r="E19" s="9" t="str">
        <x:v>Not fitted for former loop</x:v>
      </x:c>
      <x:c r="F19" s="9" t="str">
        <x:v>Not fitted</x:v>
      </x:c>
      <x:c r="G19" s="9" t="n">
        <x:v>0</x:v>
      </x:c>
      <x:c r="H19" s="9" t="str">
        <x:v>RETIRED ALLOCATION</x:v>
      </x:c>
      <x:c r="I19" s="9" t="str">
        <x:v>Legacy reference retained; no extra external cable/mate. Final SYSCTRL connector references below remain TBC.</x:v>
      </x:c>
    </x:row>
    <x:row r="20" ht="44" customHeight="1">
      <x:c r="A20" s="10" t="str">
        <x:v>J30–J33</x:v>
      </x:c>
      <x:c r="B20" s="10" t="str">
        <x:v>EM latches K1–K4 · 12 V (switched by IOCTRL RO1–RO4)</x:v>
      </x:c>
      <x:c r="C20" s="10" t="str">
        <x:v>IOCTRL (COTS)</x:v>
      </x:c>
      <x:c r="D20" s="10" t="str">
        <x:v>screw terminals on the Waveshare module</x:v>
      </x:c>
      <x:c r="E20" s="10" t="str">
        <x:v>ferrule</x:v>
      </x:c>
      <x:c r="F20" s="10" t="str">
        <x:v>latch / sensor side: Micro-Fit 2-pin 43045-0200 / 43025-0200</x:v>
      </x:c>
      <x:c r="G20" s="10" t="n">
        <x:v>4</x:v>
      </x:c>
      <x:c r="H20" s="10" t="str">
        <x:v>CANDIDATE</x:v>
      </x:c>
      <x:c r="I20" s="10" t="str">
        <x:v>Four latch circuits; native relay screw terminals retained.</x:v>
      </x:c>
    </x:row>
    <x:row r="21" ht="44" customHeight="1">
      <x:c r="A21" s="9" t="str">
        <x:v>J35–J39</x:v>
      </x:c>
      <x:c r="B21" s="9" t="str">
        <x:v>Door position sensors ×5 (to IOCTRL DI1–DI5)</x:v>
      </x:c>
      <x:c r="C21" s="9" t="str">
        <x:v>IOCTRL (COTS)</x:v>
      </x:c>
      <x:c r="D21" s="9" t="str">
        <x:v>screw terminals on the Waveshare module</x:v>
      </x:c>
      <x:c r="E21" s="9" t="str">
        <x:v>ferrule</x:v>
      </x:c>
      <x:c r="F21" s="9" t="str">
        <x:v>Direct sensor leads at IOCTRL terminals; no intermediate box</x:v>
      </x:c>
      <x:c r="G21" s="9" t="n">
        <x:v>5</x:v>
      </x:c>
      <x:c r="H21" s="9" t="str">
        <x:v>CANDIDATE</x:v>
      </x:c>
      <x:c r="I21" s="9" t="str">
        <x:v>W23 direct runs; confirm isolated DI reference/polarity.</x:v>
      </x:c>
    </x:row>
    <x:row r="22" ht="44" customHeight="1">
      <x:c r="A22" s="10" t="str">
        <x:v>J41</x:v>
      </x:c>
      <x:c r="B22" s="10" t="str">
        <x:v>Former external SMPS input W07</x:v>
      </x:c>
      <x:c r="C22" s="10" t="str">
        <x:v>SYSCTRL internal function</x:v>
      </x:c>
      <x:c r="D22" s="10" t="str">
        <x:v>No external connector assigned</x:v>
      </x:c>
      <x:c r="E22" s="10" t="str">
        <x:v>Not fitted for former loop</x:v>
      </x:c>
      <x:c r="F22" s="10" t="str">
        <x:v>Not fitted</x:v>
      </x:c>
      <x:c r="G22" s="10" t="n">
        <x:v>0</x:v>
      </x:c>
      <x:c r="H22" s="10" t="str">
        <x:v>RETIRED ALLOCATION</x:v>
      </x:c>
      <x:c r="I22" s="10" t="str">
        <x:v>Legacy reference retained; no extra external cable/mate. Final SYSCTRL connector references below remain TBC.</x:v>
      </x:c>
    </x:row>
    <x:row r="23" ht="44" customHeight="1">
      <x:c r="A23" s="9" t="str">
        <x:v>J46</x:v>
      </x:c>
      <x:c r="B23" s="9" t="str">
        <x:v>12 V input from F13</x:v>
      </x:c>
      <x:c r="C23" s="9" t="str">
        <x:v>MAINCTRL</x:v>
      </x:c>
      <x:c r="D23" s="9" t="str">
        <x:v>MYIR native DC input socket</x:v>
      </x:c>
      <x:c r="E23" s="9" t="str">
        <x:v>MYIR socket; exact mating dimensions TBC</x:v>
      </x:c>
      <x:c r="F23" s="9" t="str">
        <x:v>Matching native power plug, TBC</x:v>
      </x:c>
      <x:c r="G23" s="9" t="n">
        <x:v>1</x:v>
      </x:c>
      <x:c r="H23" s="9" t="str">
        <x:v>CANDIDATE</x:v>
      </x:c>
      <x:c r="I23" s="9" t="str">
        <x:v>Final mating set, keying, gauge and derating require approval.</x:v>
      </x:c>
    </x:row>
    <x:row r="24" ht="44" customHeight="1">
      <x:c r="A24" s="10" t="str">
        <x:v>J42</x:v>
      </x:c>
      <x:c r="B24" s="10" t="str">
        <x:v>CAN master interface</x:v>
      </x:c>
      <x:c r="C24" s="10" t="str">
        <x:v>MAINCTRL</x:v>
      </x:c>
      <x:c r="D24" s="10" t="str">
        <x:v>MYIR native CAN connector</x:v>
      </x:c>
      <x:c r="E24" s="10" t="str">
        <x:v>–</x:v>
      </x:c>
      <x:c r="F24" s="10" t="str">
        <x:v>pigtail → Micro-Fit 3.0 4-pin to bus · 120 Ω term. here</x:v>
      </x:c>
      <x:c r="G24" s="10" t="n">
        <x:v>1</x:v>
      </x:c>
      <x:c r="H24" s="10" t="str">
        <x:v>CANDIDATE</x:v>
      </x:c>
      <x:c r="I24" s="10" t="str">
        <x:v>Classic CAN baseline; verify physical termination, do not add a duplicate.</x:v>
      </x:c>
    </x:row>
    <x:row r="25" ht="44" customHeight="1">
      <x:c r="A25" s="9" t="str">
        <x:v>SWD</x:v>
      </x:c>
      <x:c r="B25" s="9" t="str">
        <x:v>Debug / programming</x:v>
      </x:c>
      <x:c r="C25" s="9" t="str">
        <x:v>LANECTRL · SYSCTRL</x:v>
      </x:c>
      <x:c r="D25" s="9" t="str">
        <x:v>ARM 10-pin 1.27 mm</x:v>
      </x:c>
      <x:c r="E25" s="9" t="str">
        <x:v>Samtec FTSH-105-01-L-DV-K</x:v>
      </x:c>
      <x:c r="F25" s="9" t="str">
        <x:v>ST-LINK 10-pin ribbon</x:v>
      </x:c>
      <x:c r="G25" s="9" t="n">
        <x:v>11</x:v>
      </x:c>
      <x:c r="H25" s="9" t="str">
        <x:v>CANDIDATE</x:v>
      </x:c>
      <x:c r="I25" s="9" t="str">
        <x:v>1 SYSCTRL + 10 LANECTRL assemblies; one reusable debug cable.</x:v>
      </x:c>
    </x:row>
    <x:row r="26" ht="44" customHeight="1">
      <x:c r="A26" s="10" t="str">
        <x:v>J49</x:v>
      </x:c>
      <x:c r="B26" s="10" t="str">
        <x:v>RS485 + separate 24 V module input</x:v>
      </x:c>
      <x:c r="C26" s="10" t="str">
        <x:v>IOCTRL (COTS)</x:v>
      </x:c>
      <x:c r="D26" s="10" t="str">
        <x:v>screw terminals on the Waveshare module</x:v>
      </x:c>
      <x:c r="E26" s="10" t="str">
        <x:v>ferrule</x:v>
      </x:c>
      <x:c r="F26" s="10" t="str">
        <x:v>W33/W34; relay COM uses separate W35</x:v>
      </x:c>
      <x:c r="G26" s="10" t="n">
        <x:v>1</x:v>
      </x:c>
      <x:c r="H26" s="10" t="str">
        <x:v>CANDIDATE</x:v>
      </x:c>
      <x:c r="I26" s="10" t="str">
        <x:v>Final mating set, keying, gauge and derating require approval.</x:v>
      </x:c>
    </x:row>
    <x:row r="27" ht="44" customHeight="1">
      <x:c r="A27" s="9" t="str">
        <x:v>J43</x:v>
      </x:c>
      <x:c r="B27" s="9" t="str">
        <x:v>Former external SMPS output loop W04</x:v>
      </x:c>
      <x:c r="C27" s="9" t="str">
        <x:v>SYSCTRL internal function</x:v>
      </x:c>
      <x:c r="D27" s="9" t="str">
        <x:v>No external connector assigned</x:v>
      </x:c>
      <x:c r="E27" s="9" t="str">
        <x:v>Not fitted for former loop</x:v>
      </x:c>
      <x:c r="F27" s="9" t="str">
        <x:v>Not fitted</x:v>
      </x:c>
      <x:c r="G27" s="9" t="n">
        <x:v>0</x:v>
      </x:c>
      <x:c r="H27" s="9" t="str">
        <x:v>RETIRED ALLOCATION</x:v>
      </x:c>
      <x:c r="I27" s="9" t="str">
        <x:v>Legacy reference retained; no extra external cable/mate. Final SYSCTRL connector references below remain TBC.</x:v>
      </x:c>
    </x:row>
    <x:row r="28" ht="44" customHeight="1">
      <x:c r="A28" s="10" t="str">
        <x:v>J44</x:v>
      </x:c>
      <x:c r="B28" s="10" t="str">
        <x:v>Status light outputs</x:v>
      </x:c>
      <x:c r="C28" s="10" t="str">
        <x:v>SYSCTRL</x:v>
      </x:c>
      <x:c r="D28" s="10" t="str">
        <x:v>Micro-Fit candidate; circuit/pin count TBC</x:v>
      </x:c>
      <x:c r="E28" s="10" t="str">
        <x:v>TBC</x:v>
      </x:c>
      <x:c r="F28" s="10" t="str">
        <x:v>TBC</x:v>
      </x:c>
      <x:c r="G28" s="10" t="n">
        <x:v>1</x:v>
      </x:c>
      <x:c r="H28" s="10" t="str">
        <x:v>HOLD O15</x:v>
      </x:c>
      <x:c r="I28" s="10" t="str">
        <x:v>W36; confirm light voltage and common.</x:v>
      </x:c>
    </x:row>
    <x:row r="29" ht="44" customHeight="1">
      <x:c r="A29" s="9" t="str">
        <x:v>PE</x:v>
      </x:c>
      <x:c r="B29" s="9" t="str">
        <x:v>Protective-earth bonds</x:v>
      </x:c>
      <x:c r="C29" s="9" t="str">
        <x:v>Inlet/chassis/PSU FG</x:v>
      </x:c>
      <x:c r="D29" s="9" t="str">
        <x:v>Bonding lugs and PE terminals</x:v>
      </x:c>
      <x:c r="E29" s="9" t="str">
        <x:v>TBC</x:v>
      </x:c>
      <x:c r="F29" s="9" t="str">
        <x:v>TBC</x:v>
      </x:c>
      <x:c r="G29" s="9"/>
      <x:c r="H29" s="9" t="str">
        <x:v>HOLD O14</x:v>
      </x:c>
      <x:c r="I29" s="9" t="str">
        <x:v>W37 bonding assembly; counts await enclosure bonding plan.</x:v>
      </x:c>
    </x:row>
    <x:row r="30" ht="85" customHeight="1">
      <x:c r="A30" s="3" t="str">
        <x:v>SYSCTRL-PWR-IN (TBC)</x:v>
      </x:c>
      <x:c r="B30" s="3" t="str">
        <x:v>24 V system power input</x:v>
      </x:c>
      <x:c r="C30" s="3" t="str">
        <x:v>SYSCTRL</x:v>
      </x:c>
      <x:c r="D30" s="3" t="str">
        <x:v>Power connector rated for total machine input; TBC</x:v>
      </x:c>
      <x:c r="E30" s="3" t="str">
        <x:v>TBC</x:v>
      </x:c>
      <x:c r="F30" s="3" t="str">
        <x:v>PSU1 screw terminals to selected SYSCTRL mate</x:v>
      </x:c>
      <x:c r="G30" s="3" t="n">
        <x:v>1</x:v>
      </x:c>
      <x:c r="H30" s="3" t="str">
        <x:v>HOLD O06</x:v>
      </x:c>
      <x:c r="I30" s="3" t="str">
        <x:v>W03. Rating, gauge, inrush and PCB current paths must cover all simultaneous loads.</x:v>
      </x:c>
    </x:row>
    <x:row r="31" ht="85" customHeight="1">
      <x:c r="A31" s="3" t="str">
        <x:v>SYSCTRL-24V-LANE (TBC)</x:v>
      </x:c>
      <x:c r="B31" s="3" t="str">
        <x:v>24 V row power outputs</x:v>
      </x:c>
      <x:c r="C31" s="3" t="str">
        <x:v>SYSCTRL</x:v>
      </x:c>
      <x:c r="D31" s="3" t="str">
        <x:v>F1-F10 branch outputs; connector MPN/pins TBC</x:v>
      </x:c>
      <x:c r="E31" s="3" t="str">
        <x:v>TBC</x:v>
      </x:c>
      <x:c r="F31" s="3" t="str">
        <x:v>LANECTRL J5 candidate</x:v>
      </x:c>
      <x:c r="G31" s="3" t="n">
        <x:v>10</x:v>
      </x:c>
      <x:c r="H31" s="3" t="str">
        <x:v>HOLD O06</x:v>
      </x:c>
      <x:c r="I31" s="3" t="str">
        <x:v>W24, ten branch circuits. Physical housings may combine circuits; packaging TBC.</x:v>
      </x:c>
    </x:row>
    <x:row r="32" ht="85" customHeight="1">
      <x:c r="A32" s="3" t="str">
        <x:v>SYSCTRL-24V-DRIVE (TBC)</x:v>
      </x:c>
      <x:c r="B32" s="3" t="str">
        <x:v>Proposed 24 V X/Z drive outputs</x:v>
      </x:c>
      <x:c r="C32" s="3" t="str">
        <x:v>SYSCTRL</x:v>
      </x:c>
      <x:c r="D32" s="3" t="str">
        <x:v>F15/F16 branch outputs; connector MPN/pins TBC</x:v>
      </x:c>
      <x:c r="E32" s="3" t="str">
        <x:v>TBC</x:v>
      </x:c>
      <x:c r="F32" s="3" t="str">
        <x:v>Native drive mates TBC</x:v>
      </x:c>
      <x:c r="G32" s="3" t="n">
        <x:v>2</x:v>
      </x:c>
      <x:c r="H32" s="3" t="str">
        <x:v>HOLD O01/O06</x:v>
      </x:c>
      <x:c r="I32" s="3" t="str">
        <x:v>W29/W30. 24 V compatibility and current need supplier evidence.</x:v>
      </x:c>
    </x:row>
    <x:row r="33" ht="85" customHeight="1">
      <x:c r="A33" s="3" t="str">
        <x:v>SYSCTRL-24V-IO (TBC)</x:v>
      </x:c>
      <x:c r="B33" s="3" t="str">
        <x:v>24 V IOCTRL module output</x:v>
      </x:c>
      <x:c r="C33" s="3" t="str">
        <x:v>SYSCTRL</x:v>
      </x:c>
      <x:c r="D33" s="3" t="str">
        <x:v>F17 branch output; connector MPN/pins TBC</x:v>
      </x:c>
      <x:c r="E33" s="3" t="str">
        <x:v>TBC</x:v>
      </x:c>
      <x:c r="F33" s="3" t="str">
        <x:v>IOCTRL native power terminals</x:v>
      </x:c>
      <x:c r="G33" s="3" t="n">
        <x:v>1</x:v>
      </x:c>
      <x:c r="H33" s="3" t="str">
        <x:v>HOLD O06</x:v>
      </x:c>
      <x:c r="I33" s="3" t="str">
        <x:v>W34. Separate from 12 V relay-contact feed.</x:v>
      </x:c>
    </x:row>
    <x:row r="34" ht="85" customHeight="1">
      <x:c r="A34" s="3" t="str">
        <x:v>SYSCTRL-12V-MAIN (TBC)</x:v>
      </x:c>
      <x:c r="B34" s="3" t="str">
        <x:v>Derived 12 V MAINCTRL output</x:v>
      </x:c>
      <x:c r="C34" s="3" t="str">
        <x:v>SYSCTRL</x:v>
      </x:c>
      <x:c r="D34" s="3" t="str">
        <x:v>F13 branch output; connector MPN/pins TBC</x:v>
      </x:c>
      <x:c r="E34" s="3" t="str">
        <x:v>TBC</x:v>
      </x:c>
      <x:c r="F34" s="3" t="str">
        <x:v>MYIR J46 native power plug TBC</x:v>
      </x:c>
      <x:c r="G34" s="3" t="n">
        <x:v>1</x:v>
      </x:c>
      <x:c r="H34" s="3" t="str">
        <x:v>HOLD O02/O06</x:v>
      </x:c>
      <x:c r="I34" s="3" t="str">
        <x:v>W05. Generated by the single onboard SMPS.</x:v>
      </x:c>
    </x:row>
    <x:row r="35" ht="85" customHeight="1">
      <x:c r="A35" s="3" t="str">
        <x:v>SYSCTRL-12V-LATCH (TBC)</x:v>
      </x:c>
      <x:c r="B35" s="3" t="str">
        <x:v>Derived 12 V latch-contact output</x:v>
      </x:c>
      <x:c r="C35" s="3" t="str">
        <x:v>SYSCTRL</x:v>
      </x:c>
      <x:c r="D35" s="3" t="str">
        <x:v>F18 branch output; connector MPN/pins TBC</x:v>
      </x:c>
      <x:c r="E35" s="3" t="str">
        <x:v>TBC</x:v>
      </x:c>
      <x:c r="F35" s="3" t="str">
        <x:v>IOCTRL relay COM terminals</x:v>
      </x:c>
      <x:c r="G35" s="3" t="n">
        <x:v>1</x:v>
      </x:c>
      <x:c r="H35" s="3" t="str">
        <x:v>HOLD O02/O06</x:v>
      </x:c>
      <x:c r="I35" s="3" t="str">
        <x:v>W35. Lane-logic 12 V is already allocated to J15A; do not duplicate it.</x:v>
      </x:c>
    </x:row>
    <x:row r="36" ht="85" customHeight="1">
      <x:c r="A36" s="32" t="str">
        <x:v>NFC-RF (TBC)</x:v>
      </x:c>
      <x:c r="B36" s="32" t="str">
        <x:v>NFC antenna to reader front end</x:v>
      </x:c>
      <x:c r="C36" s="32" t="str">
        <x:v>Antenna / reader location TBC</x:v>
      </x:c>
      <x:c r="D36" s="32" t="str">
        <x:v>RF termination and matching TBC</x:v>
      </x:c>
      <x:c r="E36" s="32" t="str">
        <x:v>Molex 1462362151 antenna</x:v>
      </x:c>
      <x:c r="F36" s="32" t="str">
        <x:v>Reader-side connection TBC</x:v>
      </x:c>
      <x:c r="G36" s="32" t="n">
        <x:v>1</x:v>
      </x:c>
      <x:c r="H36" s="32" t="str">
        <x:v>HOLD O16</x:v>
      </x:c>
      <x:c r="I36" s="32" t="str">
        <x:v>102 mm antenna cable is included in the selected antenna; not a separately selected coax jumper. Verify actual termination from drawing.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8" hidden="0" customWidth="1"/>
    <x:col min="3" max="3" width="47" hidden="0" customWidth="1"/>
    <x:col min="4" max="4" width="49" hidden="0" customWidth="1"/>
    <x:col min="5" max="5" width="45" hidden="0" customWidth="1"/>
    <x:col min="6" max="6" width="9" hidden="0" customWidth="1"/>
    <x:col min="7" max="7" width="13" hidden="0" customWidth="1"/>
    <x:col min="8" max="8" width="15" hidden="0" customWidth="1"/>
    <x:col min="9" max="9" width="13" hidden="0" customWidth="1"/>
    <x:col min="10" max="10" width="17" hidden="0" customWidth="1"/>
    <x:col min="11" max="11" width="27" hidden="0" customWidth="1"/>
    <x:col min="12" max="12" width="70" hidden="0" customWidth="1"/>
  </x:cols>
  <x:sheetData>
    <x:row r="1" ht="32" customHeight="1">
      <x:c r="A1" s="5" t="str">
        <x:v>Cable and harness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3" t="str">
        <x:v>28 required external cable types. W04/W06/W07 are internalized, not external jumpers. W14/W22 remain retired; sensors connect directly to controller boards.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6" customHeight="1">
      <x:c r="A4" s="8" t="str">
        <x:v>W ID</x:v>
      </x:c>
      <x:c r="B4" s="8" t="str">
        <x:v>Harness identifier</x:v>
      </x:c>
      <x:c r="C4" s="8" t="str">
        <x:v>From → To</x:v>
      </x:c>
      <x:c r="D4" s="8" t="str">
        <x:v>Cable / conductor requirement</x:v>
      </x:c>
      <x:c r="E4" s="8" t="str">
        <x:v>Ends</x:v>
      </x:c>
      <x:c r="F4" s="8" t="str">
        <x:v>Qty</x:v>
      </x:c>
      <x:c r="G4" s="8" t="str">
        <x:v>Length each (m)</x:v>
      </x:c>
      <x:c r="H4" s="8" t="str">
        <x:v>Known run length (m)</x:v>
      </x:c>
      <x:c r="I4" s="8" t="str">
        <x:v>Standard 4c runs</x:v>
      </x:c>
      <x:c r="J4" s="8" t="str">
        <x:v>Known 4c stock +20% (m)</x:v>
      </x:c>
      <x:c r="K4" s="8" t="str">
        <x:v>Status</x:v>
      </x:c>
      <x:c r="L4" s="8" t="str">
        <x:v>Routing / evidence</x:v>
      </x:c>
    </x:row>
    <x:row r="5" ht="44" customHeight="1">
      <x:c r="A5" s="9" t="str">
        <x:v>W01</x:v>
      </x:c>
      <x:c r="B5" s="9" t="str">
        <x:v>WR_ADHERENT_ACIN_TO_PSU24_R1</x:v>
      </x:c>
      <x:c r="C5" s="9" t="str">
        <x:v>AC inlet → PSU1</x:v>
      </x:c>
      <x:c r="D5" s="9" t="str">
        <x:v>AC L/N/PE; mains-rated gauge and protection TBC</x:v>
      </x:c>
      <x:c r="E5" s="9" t="str">
        <x:v>ferrule → faston / screw</x:v>
      </x:c>
      <x:c r="F5" s="11" t="n">
        <x:v>1</x:v>
      </x:c>
      <x:c r="G5" s="13" t="n">
        <x:v>0.4</x:v>
      </x:c>
      <x:c r="H5" s="14" t="n">
        <x:f>IF(ISNUMBER(G5),F5*G5,0)</x:f>
        <x:v>0.4</x:v>
      </x:c>
      <x:c r="I5" s="14" t="n">
        <x:v>0</x:v>
      </x:c>
      <x:c r="J5" s="14" t="n">
        <x:f>IF(ISNUMBER(G5),F5*G5*I5*1.2,0)</x:f>
        <x:v>0</x:v>
      </x:c>
      <x:c r="K5" s="9" t="str">
        <x:v>REQUIRED / provisional</x:v>
      </x:c>
      <x:c r="L5" s="9" t="str">
        <x:v>Inlet/fuse/switch and PSU inrush coordination pending O06/O14.</x:v>
      </x:c>
    </x:row>
    <x:row r="6" ht="44" customHeight="1">
      <x:c r="A6" s="10" t="str">
        <x:v>W02</x:v>
      </x:c>
      <x:c r="B6" s="10" t="str">
        <x:v>WR_ADHERENT_ACIN_TO_PSU12_R1</x:v>
      </x:c>
      <x:c r="C6" s="10" t="str">
        <x:v>AC inlet → PSU2</x:v>
      </x:c>
      <x:c r="D6" s="10" t="str">
        <x:v>3 × 18 AWG L / N / PE (exception)</x:v>
      </x:c>
      <x:c r="E6" s="10" t="str">
        <x:v>ferrule → faston / screw</x:v>
      </x:c>
      <x:c r="F6" s="12" t="n">
        <x:v>0</x:v>
      </x:c>
      <x:c r="G6" s="15" t="n">
        <x:v>0.4</x:v>
      </x:c>
      <x:c r="H6" s="16" t="n">
        <x:f>IF(ISNUMBER(G6),F6*G6,0)</x:f>
        <x:v>0</x:v>
      </x:c>
      <x:c r="I6" s="16" t="n">
        <x:v>0</x:v>
      </x:c>
      <x:c r="J6" s="16" t="n">
        <x:f>IF(ISNUMBER(G6),F6*G6*I6*1.2,0)</x:f>
        <x:v>0</x:v>
      </x:c>
      <x:c r="K6" s="10" t="str">
        <x:v>RETIRED</x:v>
      </x:c>
      <x:c r="L6" s="10" t="str">
        <x:v>Removed with separate PSU2/PSU3. Not procured.</x:v>
      </x:c>
    </x:row>
    <x:row r="7" ht="44" customHeight="1">
      <x:c r="A7" s="9" t="str">
        <x:v>W03</x:v>
      </x:c>
      <x:c r="B7" s="9" t="str">
        <x:v>WR_ADHERENT_PSU24_TO_SYSCTRL_R1</x:v>
      </x:c>
      <x:c r="C7" s="9" t="str">
        <x:v>PSU1 24 V output → SYSCTRL system power input</x:v>
      </x:c>
      <x:c r="D7" s="9" t="str">
        <x:v>Power pair; gauge/current rating TBC; no assumed parallel-pin capacity</x:v>
      </x:c>
      <x:c r="E7" s="9" t="str">
        <x:v>PSU screw terminals → SYSCTRL power mate TBC</x:v>
      </x:c>
      <x:c r="F7" s="11" t="n">
        <x:v>1</x:v>
      </x:c>
      <x:c r="G7" s="13" t="n">
        <x:v>0.5</x:v>
      </x:c>
      <x:c r="H7" s="14" t="n">
        <x:f>IF(ISNUMBER(G7),F7*G7,0)</x:f>
        <x:v>0.5</x:v>
      </x:c>
      <x:c r="I7" s="14" t="n">
        <x:v>0</x:v>
      </x:c>
      <x:c r="J7" s="14" t="n">
        <x:f>IF(ISNUMBER(G7),F7*G7*I7*1.2,0)</x:f>
        <x:v>0</x:v>
      </x:c>
      <x:c r="K7" s="9" t="str">
        <x:v>REQUIRED / provisional</x:v>
      </x:c>
      <x:c r="L7" s="9" t="str">
        <x:v>0.5 m retained only as a route allowance, not a measured cut length. Size for combined machine input, SMPS inrush and PCB/connector limits.</x:v>
      </x:c>
    </x:row>
    <x:row r="8" ht="44" customHeight="1">
      <x:c r="A8" s="10" t="str">
        <x:v>W04</x:v>
      </x:c>
      <x:c r="B8" s="10" t="str">
        <x:v>INTERNALIZED_W04</x:v>
      </x:c>
      <x:c r="C8" s="10" t="str">
        <x:v>12 V SMPS output to internal SYSCTRL rail</x:v>
      </x:c>
      <x:c r="D8" s="10" t="str">
        <x:v>PCB routing; not an external cable</x:v>
      </x:c>
      <x:c r="E8" s="10" t="str">
        <x:v>No external mating set</x:v>
      </x:c>
      <x:c r="F8" s="12" t="n">
        <x:v>0</x:v>
      </x:c>
      <x:c r="G8" s="15" t="n">
        <x:v>0</x:v>
      </x:c>
      <x:c r="H8" s="16" t="n">
        <x:f>IF(ISNUMBER(G8),F8*G8,0)</x:f>
        <x:v>0</x:v>
      </x:c>
      <x:c r="I8" s="16" t="n">
        <x:v>0</x:v>
      </x:c>
      <x:c r="J8" s="16" t="n">
        <x:f>IF(ISNUMBER(G8),F8*G8*I8*1.2,0)</x:f>
        <x:v>0</x:v>
      </x:c>
      <x:c r="K8" s="10" t="str">
        <x:v>INTERNALIZED / zero harness</x:v>
      </x:c>
      <x:c r="L8" s="10" t="str">
        <x:v>Legacy W ID retained only for traceability. Removed external loop between SYSCTRL and the former distribution box.</x:v>
      </x:c>
    </x:row>
    <x:row r="9" ht="44" customHeight="1">
      <x:c r="A9" s="9" t="str">
        <x:v>W05</x:v>
      </x:c>
      <x:c r="B9" s="9" t="str">
        <x:v>WR_ADHERENT_SYSCTRL_TO_MAINCTRL_R1</x:v>
      </x:c>
      <x:c r="C9" s="9" t="str">
        <x:v>SYSCTRL F13 / 12 V output → MAINCTRL J46</x:v>
      </x:c>
      <x:c r="D9" s="9" t="str">
        <x:v>12 V power pair; gauge and MYIR plug TBC</x:v>
      </x:c>
      <x:c r="E9" s="9" t="str">
        <x:v>SYSCTRL mating power connector TBC → native / selected load connector</x:v>
      </x:c>
      <x:c r="F9" s="11" t="n">
        <x:v>1</x:v>
      </x:c>
      <x:c r="G9" s="13" t="n">
        <x:v>0.5</x:v>
      </x:c>
      <x:c r="H9" s="14" t="n">
        <x:f>IF(ISNUMBER(G9),F9*G9,0)</x:f>
        <x:v>0.5</x:v>
      </x:c>
      <x:c r="I9" s="14" t="n">
        <x:v>0</x:v>
      </x:c>
      <x:c r="J9" s="14" t="n">
        <x:f>IF(ISNUMBER(G9),F9*G9*I9*1.2,0)</x:f>
        <x:v>0</x:v>
      </x:c>
      <x:c r="K9" s="9" t="str">
        <x:v>REQUIRED / provisional</x:v>
      </x:c>
      <x:c r="L9" s="9" t="str">
        <x:v>Length estimate; pinout, gauge and current rating not released.</x:v>
      </x:c>
    </x:row>
    <x:row r="10" ht="44" customHeight="1">
      <x:c r="A10" s="10" t="str">
        <x:v>W06</x:v>
      </x:c>
      <x:c r="B10" s="10" t="str">
        <x:v>INTERNALIZED_W06</x:v>
      </x:c>
      <x:c r="C10" s="10" t="str">
        <x:v>24 V SYSCTRL internal motor branch</x:v>
      </x:c>
      <x:c r="D10" s="10" t="str">
        <x:v>PCB routing; not an external cable</x:v>
      </x:c>
      <x:c r="E10" s="10" t="str">
        <x:v>No external mating set</x:v>
      </x:c>
      <x:c r="F10" s="12" t="n">
        <x:v>0</x:v>
      </x:c>
      <x:c r="G10" s="15" t="n">
        <x:v>0</x:v>
      </x:c>
      <x:c r="H10" s="16" t="n">
        <x:f>IF(ISNUMBER(G10),F10*G10,0)</x:f>
        <x:v>0</x:v>
      </x:c>
      <x:c r="I10" s="16" t="n">
        <x:v>0</x:v>
      </x:c>
      <x:c r="J10" s="16" t="n">
        <x:f>IF(ISNUMBER(G10),F10*G10*I10*1.2,0)</x:f>
        <x:v>0</x:v>
      </x:c>
      <x:c r="K10" s="10" t="str">
        <x:v>INTERNALIZED / zero harness</x:v>
      </x:c>
      <x:c r="L10" s="10" t="str">
        <x:v>Legacy W ID retained only for traceability. Removed external loop between SYSCTRL and the former distribution box.</x:v>
      </x:c>
    </x:row>
    <x:row r="11" ht="44" customHeight="1">
      <x:c r="A11" s="9" t="str">
        <x:v>W07</x:v>
      </x:c>
      <x:c r="B11" s="9" t="str">
        <x:v>INTERNALIZED_W07</x:v>
      </x:c>
      <x:c r="C11" s="9" t="str">
        <x:v>24 V internal SMPS input branch</x:v>
      </x:c>
      <x:c r="D11" s="9" t="str">
        <x:v>PCB routing; not an external cable</x:v>
      </x:c>
      <x:c r="E11" s="9" t="str">
        <x:v>No external mating set</x:v>
      </x:c>
      <x:c r="F11" s="11" t="n">
        <x:v>0</x:v>
      </x:c>
      <x:c r="G11" s="13" t="n">
        <x:v>0</x:v>
      </x:c>
      <x:c r="H11" s="14" t="n">
        <x:f>IF(ISNUMBER(G11),F11*G11,0)</x:f>
        <x:v>0</x:v>
      </x:c>
      <x:c r="I11" s="14" t="n">
        <x:v>0</x:v>
      </x:c>
      <x:c r="J11" s="14" t="n">
        <x:f>IF(ISNUMBER(G11),F11*G11*I11*1.2,0)</x:f>
        <x:v>0</x:v>
      </x:c>
      <x:c r="K11" s="9" t="str">
        <x:v>INTERNALIZED / zero harness</x:v>
      </x:c>
      <x:c r="L11" s="9" t="str">
        <x:v>Legacy W ID retained only for traceability. Removed external loop between SYSCTRL and the former distribution box.</x:v>
      </x:c>
    </x:row>
    <x:row r="12" ht="44" customHeight="1">
      <x:c r="A12" s="10" t="str">
        <x:v>W08</x:v>
      </x:c>
      <x:c r="B12" s="10" t="str">
        <x:v>WR_ADHERENT_MAINCTRL_TO_SYSCTRL_R1</x:v>
      </x:c>
      <x:c r="C12" s="10" t="str">
        <x:v>MAINCTRL native CAN interface → SYSCTRL J15</x:v>
      </x:c>
      <x:c r="D12" s="10" t="str">
        <x:v>Twisted CAN_H/CAN_L pair + 0 V; separate shield/drain</x:v>
      </x:c>
      <x:c r="E12" s="10" t="str">
        <x:v>board CAN header (TBC) ↔ Micro-Fit 4</x:v>
      </x:c>
      <x:c r="F12" s="12" t="n">
        <x:v>1</x:v>
      </x:c>
      <x:c r="G12" s="15" t="n">
        <x:v>0.4</x:v>
      </x:c>
      <x:c r="H12" s="16" t="n">
        <x:f>IF(ISNUMBER(G12),F12*G12,0)</x:f>
        <x:v>0.4</x:v>
      </x:c>
      <x:c r="I12" s="16" t="n">
        <x:v>0</x:v>
      </x:c>
      <x:c r="J12" s="16" t="n">
        <x:f>IF(ISNUMBER(G12),F12*G12*I12*1.2,0)</x:f>
        <x:v>0</x:v>
      </x:c>
      <x:c r="K12" s="10" t="str">
        <x:v>REQUIRED / provisional</x:v>
      </x:c>
      <x:c r="L12" s="10" t="str">
        <x:v>Cable impedance, voltage drop and pinout TBC; shield is not protective earth.</x:v>
      </x:c>
    </x:row>
    <x:row r="13" ht="44" customHeight="1">
      <x:c r="A13" s="9" t="str">
        <x:v>W09</x:v>
      </x:c>
      <x:c r="B13" s="9" t="str">
        <x:v>WR_ADHERENT_MAINCTRL_TO_RJ45_R1</x:v>
      </x:c>
      <x:c r="C13" s="9" t="str">
        <x:v>MAINCTRL → rear RJ45 bulkhead (McMaster 1422N13)</x:v>
      </x:c>
      <x:c r="D13" s="9" t="str">
        <x:v>Shielded Cat5e/Cat6 patch cable</x:v>
      </x:c>
      <x:c r="E13" s="9" t="str">
        <x:v>RJ45 ↔ RJ45</x:v>
      </x:c>
      <x:c r="F13" s="11" t="n">
        <x:v>1</x:v>
      </x:c>
      <x:c r="G13" s="13" t="n">
        <x:v>0.5</x:v>
      </x:c>
      <x:c r="H13" s="14" t="n">
        <x:f>IF(ISNUMBER(G13),F13*G13,0)</x:f>
        <x:v>0.5</x:v>
      </x:c>
      <x:c r="I13" s="14" t="n">
        <x:v>0</x:v>
      </x:c>
      <x:c r="J13" s="14" t="n">
        <x:f>IF(ISNUMBER(G13),F13*G13*I13*1.2,0)</x:f>
        <x:v>0</x:v>
      </x:c>
      <x:c r="K13" s="9" t="str">
        <x:v>REQUIRED / provisional</x:v>
      </x:c>
      <x:c r="L13" s="9" t="str">
        <x:v>One internal link to J2 McMaster 1422N13.</x:v>
      </x:c>
    </x:row>
    <x:row r="14" ht="44" customHeight="1">
      <x:c r="A14" s="10" t="str">
        <x:v>W10</x:v>
      </x:c>
      <x:c r="B14" s="10" t="str">
        <x:v>WR_ADHERENT_MAINCTRL_TO_ANT_R1</x:v>
      </x:c>
      <x:c r="C14" s="10" t="str">
        <x:v>USB Wi-Fi / BT module on MAINCTRL → RP-SMA bulkhead (optional)</x:v>
      </x:c>
      <x:c r="D14" s="10" t="str">
        <x:v>coax pigtail (exception)</x:v>
      </x:c>
      <x:c r="E14" s="10" t="str">
        <x:v>U.FL ↔ RP-SMA</x:v>
      </x:c>
      <x:c r="F14" s="12" t="n">
        <x:v>0</x:v>
      </x:c>
      <x:c r="G14" s="15" t="n">
        <x:v>0.3</x:v>
      </x:c>
      <x:c r="H14" s="16" t="n">
        <x:f>IF(ISNUMBER(G14),F14*G14,0)</x:f>
        <x:v>0</x:v>
      </x:c>
      <x:c r="I14" s="16" t="n">
        <x:v>0</x:v>
      </x:c>
      <x:c r="J14" s="16" t="n">
        <x:f>IF(ISNUMBER(G14),F14*G14*I14*1.2,0)</x:f>
        <x:v>0</x:v>
      </x:c>
      <x:c r="K14" s="10" t="str">
        <x:v>OPTION / excluded</x:v>
      </x:c>
      <x:c r="L14" s="10" t="str">
        <x:v>Not in approved baseline; quantity zero is intentional.</x:v>
      </x:c>
    </x:row>
    <x:row r="15" ht="44" customHeight="1">
      <x:c r="A15" s="9" t="str">
        <x:v>W11</x:v>
      </x:c>
      <x:c r="B15" s="9" t="str">
        <x:v>WR_ADHERENT_SYSCTRL_TO_XDRIVE_R1</x:v>
      </x:c>
      <x:c r="C15" s="9" t="str">
        <x:v>SYSCTRL J16 → X drive control</x:v>
      </x:c>
      <x:c r="D15" s="9" t="str">
        <x:v>Drive controls + alarm + brake circuit; core count, shielding and gauge TBC</x:v>
      </x:c>
      <x:c r="E15" s="9" t="str">
        <x:v>Micro-Fit 10 → drive connector (TBC)</x:v>
      </x:c>
      <x:c r="F15" s="11" t="n">
        <x:v>1</x:v>
      </x:c>
      <x:c r="G15" s="13" t="n">
        <x:v>1.2</x:v>
      </x:c>
      <x:c r="H15" s="14" t="n">
        <x:f>IF(ISNUMBER(G15),F15*G15,0)</x:f>
        <x:v>1.2</x:v>
      </x:c>
      <x:c r="I15" s="14" t="n">
        <x:v>0</x:v>
      </x:c>
      <x:c r="J15" s="14" t="n">
        <x:f>IF(ISNUMBER(G15),F15*G15*I15*1.2,0)</x:f>
        <x:v>0</x:v>
      </x:c>
      <x:c r="K15" s="9" t="str">
        <x:v>REQUIRED / provisional</x:v>
      </x:c>
      <x:c r="L15" s="9" t="str">
        <x:v>Length estimate; pinout, gauge and current rating not released.</x:v>
      </x:c>
    </x:row>
    <x:row r="16" ht="44" customHeight="1">
      <x:c r="A16" s="10" t="str">
        <x:v>W12</x:v>
      </x:c>
      <x:c r="B16" s="10" t="str">
        <x:v>WR_ADHERENT_SYSCTRL_TO_ZDRIVE_R1</x:v>
      </x:c>
      <x:c r="C16" s="10" t="str">
        <x:v>SYSCTRL J17 → Z drive control (via X chain)</x:v>
      </x:c>
      <x:c r="D16" s="10" t="str">
        <x:v>Drive controls + alarm + brake circuit; core count, shielding and gauge TBC</x:v>
      </x:c>
      <x:c r="E16" s="10" t="str">
        <x:v>Micro-Fit 10 → drive connector (TBC)</x:v>
      </x:c>
      <x:c r="F16" s="12" t="n">
        <x:v>1</x:v>
      </x:c>
      <x:c r="G16" s="15" t="n">
        <x:v>2.2</x:v>
      </x:c>
      <x:c r="H16" s="16" t="n">
        <x:f>IF(ISNUMBER(G16),F16*G16,0)</x:f>
        <x:v>2.2</x:v>
      </x:c>
      <x:c r="I16" s="16" t="n">
        <x:v>0</x:v>
      </x:c>
      <x:c r="J16" s="16" t="n">
        <x:f>IF(ISNUMBER(G16),F16*G16*I16*1.2,0)</x:f>
        <x:v>0</x:v>
      </x:c>
      <x:c r="K16" s="10" t="str">
        <x:v>REQUIRED / provisional</x:v>
      </x:c>
      <x:c r="L16" s="10" t="str">
        <x:v>Length estimate; pinout, gauge and current rating not released.</x:v>
      </x:c>
    </x:row>
    <x:row r="17" ht="44" customHeight="1">
      <x:c r="A17" s="9" t="str">
        <x:v>W13</x:v>
      </x:c>
      <x:c r="B17" s="9" t="str">
        <x:v>WR_ADHERENT_SYSCTRL_TO_SERVO_R1</x:v>
      </x:c>
      <x:c r="C17" s="9" t="str">
        <x:v>SYSCTRL J20 → tilt servo (via X + Z chains)</x:v>
      </x:c>
      <x:c r="D17" s="9" t="str">
        <x:v>Servo power + 0 V + PWM; voltage/current and gauge TBC</x:v>
      </x:c>
      <x:c r="E17" s="9" t="str">
        <x:v>Micro-Fit 3 → Micro-Fit 3 (servo 300 mm lead re-terminated)</x:v>
      </x:c>
      <x:c r="F17" s="11" t="n">
        <x:v>1</x:v>
      </x:c>
      <x:c r="G17" s="13" t="n">
        <x:v>3.8</x:v>
      </x:c>
      <x:c r="H17" s="14" t="n">
        <x:f>IF(ISNUMBER(G17),F17*G17,0)</x:f>
        <x:v>3.8</x:v>
      </x:c>
      <x:c r="I17" s="14" t="n">
        <x:v>0</x:v>
      </x:c>
      <x:c r="J17" s="14" t="n">
        <x:f>IF(ISNUMBER(G17),F17*G17*I17*1.2,0)</x:f>
        <x:v>0</x:v>
      </x:c>
      <x:c r="K17" s="9" t="str">
        <x:v>REQUIRED / provisional</x:v>
      </x:c>
      <x:c r="L17" s="9" t="str">
        <x:v>6.8 V was a previous assumption; verify exact DS3218 variant.</x:v>
      </x:c>
    </x:row>
    <x:row r="18" ht="44" customHeight="1">
      <x:c r="A18" s="10" t="str">
        <x:v>W14</x:v>
      </x:c>
      <x:c r="B18" s="10" t="str">
        <x:v>RETIRED_W14</x:v>
      </x:c>
      <x:c r="C18" s="10" t="str">
        <x:v>Retired intermediate sensor trunk</x:v>
      </x:c>
      <x:c r="D18" s="10" t="str">
        <x:v>Not fitted</x:v>
      </x:c>
      <x:c r="E18" s="10" t="str">
        <x:v>Not fitted</x:v>
      </x:c>
      <x:c r="F18" s="12" t="n">
        <x:v>0</x:v>
      </x:c>
      <x:c r="G18" s="15" t="n">
        <x:v>0</x:v>
      </x:c>
      <x:c r="H18" s="16" t="n">
        <x:f>IF(ISNUMBER(G18),F18*G18,0)</x:f>
        <x:v>0</x:v>
      </x:c>
      <x:c r="I18" s="16" t="n">
        <x:v>0</x:v>
      </x:c>
      <x:c r="J18" s="16" t="n">
        <x:f>IF(ISNUMBER(G18),F18*G18*I18*1.2,0)</x:f>
        <x:v>0</x:v>
      </x:c>
      <x:c r="K18" s="10" t="str">
        <x:v>RETIRED</x:v>
      </x:c>
      <x:c r="L18" s="10" t="str">
        <x:v>Direct sensor runs replace this trunk.</x:v>
      </x:c>
    </x:row>
    <x:row r="19" ht="44" customHeight="1">
      <x:c r="A19" s="9" t="str">
        <x:v>W15</x:v>
      </x:c>
      <x:c r="B19" s="9" t="str">
        <x:v>WR_ADHERENT_SYSCTRL_TO_GANTRYSENSn_R1</x:v>
      </x:c>
      <x:c r="C19" s="9" t="str">
        <x:v>SYSCTRL J21–J26 → 6 gantry sensors directly</x:v>
      </x:c>
      <x:c r="D19" s="9" t="str">
        <x:v>Direct sensor cable; gauge/length TBC</x:v>
      </x:c>
      <x:c r="E19" s="9" t="str">
        <x:v>Board mating connector → supplied sensor lead / approved direct harness</x:v>
      </x:c>
      <x:c r="F19" s="11" t="n">
        <x:v>6</x:v>
      </x:c>
      <x:c r="G19" s="13"/>
      <x:c r="H19" s="14" t="n">
        <x:f>IF(ISNUMBER(G19),F19*G19,0)</x:f>
        <x:v>0</x:v>
      </x:c>
      <x:c r="I19" s="14" t="n">
        <x:v>0</x:v>
      </x:c>
      <x:c r="J19" s="14" t="n">
        <x:f>IF(ISNUMBER(G19),F19*G19*I19*1.2,0)</x:f>
        <x:v>0</x:v>
      </x:c>
      <x:c r="K19" s="9" t="str">
        <x:v>REQUIRED / HOLD O15</x:v>
      </x:c>
      <x:c r="L19" s="9" t="str">
        <x:v>No intermediate junction box. Existing 1 m leads may be too short; finalize continuous lead/direct connector arrangement.</x:v>
      </x:c>
    </x:row>
    <x:row r="20" ht="44" customHeight="1">
      <x:c r="A20" s="10" t="str">
        <x:v>W16</x:v>
      </x:c>
      <x:c r="B20" s="10" t="str">
        <x:v>WR_ADHERENT_SYSCTRL_TO_CHUCKROT_R1</x:v>
      </x:c>
      <x:c r="C20" s="10" t="str">
        <x:v>SYSCTRL J18 → chuck rotate stepper</x:v>
      </x:c>
      <x:c r="D20" s="10" t="str">
        <x:v>Two stepper phase pairs; current, shield and gauge TBC</x:v>
      </x:c>
      <x:c r="E20" s="10" t="str">
        <x:v>Micro-Fit 4 → crimp to motor leads</x:v>
      </x:c>
      <x:c r="F20" s="12" t="n">
        <x:v>1</x:v>
      </x:c>
      <x:c r="G20" s="15" t="n">
        <x:v>1.5</x:v>
      </x:c>
      <x:c r="H20" s="16" t="n">
        <x:f>IF(ISNUMBER(G20),F20*G20,0)</x:f>
        <x:v>1.5</x:v>
      </x:c>
      <x:c r="I20" s="16" t="n">
        <x:v>0</x:v>
      </x:c>
      <x:c r="J20" s="16" t="n">
        <x:f>IF(ISNUMBER(G20),F20*G20*I20*1.2,0)</x:f>
        <x:v>0</x:v>
      </x:c>
      <x:c r="K20" s="10" t="str">
        <x:v>REQUIRED / provisional</x:v>
      </x:c>
      <x:c r="L20" s="10" t="str">
        <x:v>Length estimate; pinout, gauge and current rating not released.</x:v>
      </x:c>
    </x:row>
    <x:row r="21" ht="44" customHeight="1">
      <x:c r="A21" s="9" t="str">
        <x:v>W17</x:v>
      </x:c>
      <x:c r="B21" s="9" t="str">
        <x:v>WR_ADHERENT_SYSCTRL_TO_CHUCKJAW_R1</x:v>
      </x:c>
      <x:c r="C21" s="9" t="str">
        <x:v>SYSCTRL J19 → chuck jaw stepper</x:v>
      </x:c>
      <x:c r="D21" s="9" t="str">
        <x:v>Two stepper phase pairs; current, shield and gauge TBC</x:v>
      </x:c>
      <x:c r="E21" s="9" t="str">
        <x:v>Micro-Fit 4 → crimp to motor leads</x:v>
      </x:c>
      <x:c r="F21" s="11" t="n">
        <x:v>1</x:v>
      </x:c>
      <x:c r="G21" s="13" t="n">
        <x:v>1.5</x:v>
      </x:c>
      <x:c r="H21" s="14" t="n">
        <x:f>IF(ISNUMBER(G21),F21*G21,0)</x:f>
        <x:v>1.5</x:v>
      </x:c>
      <x:c r="I21" s="14" t="n">
        <x:v>0</x:v>
      </x:c>
      <x:c r="J21" s="14" t="n">
        <x:f>IF(ISNUMBER(G21),F21*G21*I21*1.2,0)</x:f>
        <x:v>0</x:v>
      </x:c>
      <x:c r="K21" s="9" t="str">
        <x:v>REQUIRED / provisional</x:v>
      </x:c>
      <x:c r="L21" s="9" t="str">
        <x:v>Length estimate; pinout, gauge and current rating not released.</x:v>
      </x:c>
    </x:row>
    <x:row r="22" ht="44" customHeight="1">
      <x:c r="A22" s="10" t="str">
        <x:v>W18</x:v>
      </x:c>
      <x:c r="B22" s="10" t="str">
        <x:v>WR_ADHERENT_SYSCTRL_TO_JAWSENS_R1</x:v>
      </x:c>
      <x:c r="C22" s="10" t="str">
        <x:v>SYSCTRL J27 → jaw home sensor</x:v>
      </x:c>
      <x:c r="D22" s="10" t="str">
        <x:v>4c 22 AWG R-B-Y-G · R = +V, B = GND, Y = out, G = spare</x:v>
      </x:c>
      <x:c r="E22" s="10" t="str">
        <x:v>Micro-Fit 3 → sensor lead</x:v>
      </x:c>
      <x:c r="F22" s="12" t="n">
        <x:v>1</x:v>
      </x:c>
      <x:c r="G22" s="15" t="n">
        <x:v>1.5</x:v>
      </x:c>
      <x:c r="H22" s="16" t="n">
        <x:f>IF(ISNUMBER(G22),F22*G22,0)</x:f>
        <x:v>1.5</x:v>
      </x:c>
      <x:c r="I22" s="16" t="n">
        <x:v>1</x:v>
      </x:c>
      <x:c r="J22" s="16" t="n">
        <x:f>IF(ISNUMBER(G22),F22*G22*I22*1.2,0)</x:f>
        <x:v>1.7999999999999998</x:v>
      </x:c>
      <x:c r="K22" s="10" t="str">
        <x:v>REQUIRED / provisional</x:v>
      </x:c>
      <x:c r="L22" s="10" t="str">
        <x:v>Length estimate; pinout, gauge and current rating not released.</x:v>
      </x:c>
    </x:row>
    <x:row r="23" ht="44" customHeight="1">
      <x:c r="A23" s="9" t="str">
        <x:v>W19</x:v>
      </x:c>
      <x:c r="B23" s="9" t="str">
        <x:v>WR_ADHERENT_MAINCTRL_TO_MARKER_R1</x:v>
      </x:c>
      <x:c r="C23" s="9" t="str">
        <x:v>MAINCTRL → label marker</x:v>
      </x:c>
      <x:c r="D23" s="9" t="str">
        <x:v>USB or Cat6 (exception, TBC)</x:v>
      </x:c>
      <x:c r="E23" s="9" t="str">
        <x:v>moulded</x:v>
      </x:c>
      <x:c r="F23" s="11" t="n">
        <x:v>1</x:v>
      </x:c>
      <x:c r="G23" s="13" t="n">
        <x:v>1.5</x:v>
      </x:c>
      <x:c r="H23" s="14" t="n">
        <x:f>IF(ISNUMBER(G23),F23*G23,0)</x:f>
        <x:v>1.5</x:v>
      </x:c>
      <x:c r="I23" s="14" t="n">
        <x:v>0</x:v>
      </x:c>
      <x:c r="J23" s="14" t="n">
        <x:f>IF(ISNUMBER(G23),F23*G23*I23*1.2,0)</x:f>
        <x:v>0</x:v>
      </x:c>
      <x:c r="K23" s="9" t="str">
        <x:v>REQUIRED / HOLD O11</x:v>
      </x:c>
      <x:c r="L23" s="9" t="str">
        <x:v>Marker selection and interface pending; 1.5 m is only a routing allowance.</x:v>
      </x:c>
    </x:row>
    <x:row r="24" ht="44" customHeight="1">
      <x:c r="A24" s="10" t="str">
        <x:v>W20</x:v>
      </x:c>
      <x:c r="B24" s="10" t="str">
        <x:v>WR_ADHERENT_IOCTRL_TO_LATCH12_R1</x:v>
      </x:c>
      <x:c r="C24" s="10" t="str">
        <x:v>IOCTRL RO1 / RO2 → K1 main + K2 retrieval latch</x:v>
      </x:c>
      <x:c r="D24" s="10" t="str">
        <x:v>4c 22 AWG R-B-Y-G · R/B = K1, Y/G = K2</x:v>
      </x:c>
      <x:c r="E24" s="10" t="str">
        <x:v>ferrule (IOCTRL relay terminals) → 2 × Micro-Fit 2</x:v>
      </x:c>
      <x:c r="F24" s="12" t="n">
        <x:v>1</x:v>
      </x:c>
      <x:c r="G24" s="15" t="n">
        <x:v>0.8</x:v>
      </x:c>
      <x:c r="H24" s="16" t="n">
        <x:f>IF(ISNUMBER(G24),F24*G24,0)</x:f>
        <x:v>0.8</x:v>
      </x:c>
      <x:c r="I24" s="16" t="n">
        <x:v>1</x:v>
      </x:c>
      <x:c r="J24" s="16" t="n">
        <x:f>IF(ISNUMBER(G24),F24*G24*I24*1.2,0)</x:f>
        <x:v>0.96</x:v>
      </x:c>
      <x:c r="K24" s="10" t="str">
        <x:v>REQUIRED / provisional</x:v>
      </x:c>
      <x:c r="L24" s="10" t="str">
        <x:v>Length estimate; pinout, gauge and current rating not released.</x:v>
      </x:c>
    </x:row>
    <x:row r="25" ht="44" customHeight="1">
      <x:c r="A25" s="9" t="str">
        <x:v>W21</x:v>
      </x:c>
      <x:c r="B25" s="9" t="str">
        <x:v>WR_ADHERENT_IOCTRL_TO_LATCH34_R1</x:v>
      </x:c>
      <x:c r="C25" s="9" t="str">
        <x:v>IOCTRL RO3 / RO4 → K3 return + K4 table latch</x:v>
      </x:c>
      <x:c r="D25" s="9" t="str">
        <x:v>4c 22 AWG R-B-Y-G · R/B = K3, Y/G = K4</x:v>
      </x:c>
      <x:c r="E25" s="9" t="str">
        <x:v>ferrule (IOCTRL relay terminals) → 2 × Micro-Fit 2</x:v>
      </x:c>
      <x:c r="F25" s="11" t="n">
        <x:v>1</x:v>
      </x:c>
      <x:c r="G25" s="13" t="n">
        <x:v>0.8</x:v>
      </x:c>
      <x:c r="H25" s="14" t="n">
        <x:f>IF(ISNUMBER(G25),F25*G25,0)</x:f>
        <x:v>0.8</x:v>
      </x:c>
      <x:c r="I25" s="14" t="n">
        <x:v>1</x:v>
      </x:c>
      <x:c r="J25" s="14" t="n">
        <x:f>IF(ISNUMBER(G25),F25*G25*I25*1.2,0)</x:f>
        <x:v>0.96</x:v>
      </x:c>
      <x:c r="K25" s="9" t="str">
        <x:v>REQUIRED / provisional</x:v>
      </x:c>
      <x:c r="L25" s="9" t="str">
        <x:v>Length estimate; pinout, gauge and current rating not released.</x:v>
      </x:c>
    </x:row>
    <x:row r="26" ht="44" customHeight="1">
      <x:c r="A26" s="10" t="str">
        <x:v>W22</x:v>
      </x:c>
      <x:c r="B26" s="10" t="str">
        <x:v>RETIRED_W22</x:v>
      </x:c>
      <x:c r="C26" s="10" t="str">
        <x:v>Retired intermediate sensor trunk</x:v>
      </x:c>
      <x:c r="D26" s="10" t="str">
        <x:v>Not fitted</x:v>
      </x:c>
      <x:c r="E26" s="10" t="str">
        <x:v>Not fitted</x:v>
      </x:c>
      <x:c r="F26" s="12" t="n">
        <x:v>0</x:v>
      </x:c>
      <x:c r="G26" s="15" t="n">
        <x:v>0</x:v>
      </x:c>
      <x:c r="H26" s="16" t="n">
        <x:f>IF(ISNUMBER(G26),F26*G26,0)</x:f>
        <x:v>0</x:v>
      </x:c>
      <x:c r="I26" s="16" t="n">
        <x:v>0</x:v>
      </x:c>
      <x:c r="J26" s="16" t="n">
        <x:f>IF(ISNUMBER(G26),F26*G26*I26*1.2,0)</x:f>
        <x:v>0</x:v>
      </x:c>
      <x:c r="K26" s="10" t="str">
        <x:v>RETIRED</x:v>
      </x:c>
      <x:c r="L26" s="10" t="str">
        <x:v>Direct sensor runs replace this trunk.</x:v>
      </x:c>
    </x:row>
    <x:row r="27" ht="44" customHeight="1">
      <x:c r="A27" s="9" t="str">
        <x:v>W23</x:v>
      </x:c>
      <x:c r="B27" s="9" t="str">
        <x:v>WR_ADHERENT_IOCTRL_TO_DOORSENSn_R1</x:v>
      </x:c>
      <x:c r="C27" s="9" t="str">
        <x:v>IOCTRL DI1–DI5 → 5 door sensors directly</x:v>
      </x:c>
      <x:c r="D27" s="9" t="str">
        <x:v>Direct sensor cable; gauge/length TBC</x:v>
      </x:c>
      <x:c r="E27" s="9" t="str">
        <x:v>Native IOCTRL terminals → sensor lead</x:v>
      </x:c>
      <x:c r="F27" s="11" t="n">
        <x:v>5</x:v>
      </x:c>
      <x:c r="G27" s="13"/>
      <x:c r="H27" s="14" t="n">
        <x:f>IF(ISNUMBER(G27),F27*G27,0)</x:f>
        <x:v>0</x:v>
      </x:c>
      <x:c r="I27" s="14" t="n">
        <x:v>0</x:v>
      </x:c>
      <x:c r="J27" s="14" t="n">
        <x:f>IF(ISNUMBER(G27),F27*G27*I27*1.2,0)</x:f>
        <x:v>0</x:v>
      </x:c>
      <x:c r="K27" s="9" t="str">
        <x:v>REQUIRED / HOLD O15</x:v>
      </x:c>
      <x:c r="L27" s="9" t="str">
        <x:v>No intermediate junction box; confirm isolated input common and routing.</x:v>
      </x:c>
    </x:row>
    <x:row r="28" ht="44" customHeight="1">
      <x:c r="A28" s="10" t="str">
        <x:v>W24</x:v>
      </x:c>
      <x:c r="B28" s="10" t="str">
        <x:v>WR_ADHERENT_SYSCTRL_TO_LANECTRLnn_R1</x:v>
      </x:c>
      <x:c r="C28" s="10" t="str">
        <x:v>SYSCTRL F1-F10 / 24 V row outputs → LANECTRL-01…10 J5</x:v>
      </x:c>
      <x:c r="D28" s="10" t="str">
        <x:v>Power pair; gauge/current rating TBC; no assumed parallel-pin capacity</x:v>
      </x:c>
      <x:c r="E28" s="10" t="str">
        <x:v>SYSCTRL mating power connector TBC → native / selected load connector</x:v>
      </x:c>
      <x:c r="F28" s="12" t="n">
        <x:v>10</x:v>
      </x:c>
      <x:c r="G28" s="15" t="n">
        <x:v>2.4</x:v>
      </x:c>
      <x:c r="H28" s="16" t="n">
        <x:f>IF(ISNUMBER(G28),F28*G28,0)</x:f>
        <x:v>24</x:v>
      </x:c>
      <x:c r="I28" s="16" t="n">
        <x:v>0</x:v>
      </x:c>
      <x:c r="J28" s="16" t="n">
        <x:f>IF(ISNUMBER(G28),F28*G28*I28*1.2,0)</x:f>
        <x:v>0</x:v>
      </x:c>
      <x:c r="K28" s="10" t="str">
        <x:v>REQUIRED / provisional</x:v>
      </x:c>
      <x:c r="L28" s="10" t="str">
        <x:v>Length estimate; pinout, gauge and current rating not released.</x:v>
      </x:c>
    </x:row>
    <x:row r="29" ht="44" customHeight="1">
      <x:c r="A29" s="9" t="str">
        <x:v>W25</x:v>
      </x:c>
      <x:c r="B29" s="9" t="str">
        <x:v>WR_ADHERENT_SYSCTRL_TO_LANECTRL10_R1</x:v>
      </x:c>
      <x:c r="C29" s="9" t="str">
        <x:v>SYSCTRL J15A → LANECTRL-10 J6</x:v>
      </x:c>
      <x:c r="D29" s="9" t="str">
        <x:v>Twisted CAN_H/CAN_L pair + 0 V + derived 12 V; separate shield/drain</x:v>
      </x:c>
      <x:c r="E29" s="9" t="str">
        <x:v>Micro-Fit 5 ↔ Micro-Fit 5 (pin 5 = shield)</x:v>
      </x:c>
      <x:c r="F29" s="11" t="n">
        <x:v>1</x:v>
      </x:c>
      <x:c r="G29" s="13" t="n">
        <x:v>1.8</x:v>
      </x:c>
      <x:c r="H29" s="14" t="n">
        <x:f>IF(ISNUMBER(G29),F29*G29,0)</x:f>
        <x:v>1.8</x:v>
      </x:c>
      <x:c r="I29" s="14" t="n">
        <x:v>0</x:v>
      </x:c>
      <x:c r="J29" s="14" t="n">
        <x:f>IF(ISNUMBER(G29),F29*G29*I29*1.2,0)</x:f>
        <x:v>0</x:v>
      </x:c>
      <x:c r="K29" s="9" t="str">
        <x:v>REQUIRED / provisional</x:v>
      </x:c>
      <x:c r="L29" s="9" t="str">
        <x:v>Cable impedance, voltage drop and pinout TBC; shield is not protective earth.</x:v>
      </x:c>
    </x:row>
    <x:row r="30" ht="44" customHeight="1">
      <x:c r="A30" s="10" t="str">
        <x:v>W26</x:v>
      </x:c>
      <x:c r="B30" s="10" t="str">
        <x:v>WR_ADHERENT_LANECTRLnn_TO_LANECTRLmm_R1</x:v>
      </x:c>
      <x:c r="C30" s="10" t="str">
        <x:v>LANECTRL-10 → 09 → … → 01 (J7 → J6)</x:v>
      </x:c>
      <x:c r="D30" s="10" t="str">
        <x:v>Twisted CAN_H/CAN_L pair + 0 V + derived 12 V; separate shield/drain</x:v>
      </x:c>
      <x:c r="E30" s="10" t="str">
        <x:v>Micro-Fit 5 ↔ Micro-Fit 5</x:v>
      </x:c>
      <x:c r="F30" s="12" t="n">
        <x:v>9</x:v>
      </x:c>
      <x:c r="G30" s="15" t="n">
        <x:v>0.3</x:v>
      </x:c>
      <x:c r="H30" s="16" t="n">
        <x:f>IF(ISNUMBER(G30),F30*G30,0)</x:f>
        <x:v>2.6999999999999997</x:v>
      </x:c>
      <x:c r="I30" s="16" t="n">
        <x:v>0</x:v>
      </x:c>
      <x:c r="J30" s="16" t="n">
        <x:f>IF(ISNUMBER(G30),F30*G30*I30*1.2,0)</x:f>
        <x:v>0</x:v>
      </x:c>
      <x:c r="K30" s="10" t="str">
        <x:v>REQUIRED / provisional</x:v>
      </x:c>
      <x:c r="L30" s="10" t="str">
        <x:v>Cable impedance, voltage drop and pinout TBC; shield is not protective earth.</x:v>
      </x:c>
    </x:row>
    <x:row r="31" ht="44" customHeight="1">
      <x:c r="A31" s="9" t="str">
        <x:v>W27</x:v>
      </x:c>
      <x:c r="B31" s="9" t="str">
        <x:v>WR_ADHERENT_LANECTRLnn_TO_LANEm_R1</x:v>
      </x:c>
      <x:c r="C31" s="9" t="str">
        <x:v>LANECTRL J8–J14 (front edge) → 7 conveyors per row</x:v>
      </x:c>
      <x:c r="D31" s="9" t="str">
        <x:v>Motor pair + supplier signal; reference/reversal and pinout TBC</x:v>
      </x:c>
      <x:c r="E31" s="9" t="str">
        <x:v>Micro-Fit 3 → ferrules into the conveyor 3-pos pluggable screw terminal (pitch TBC)</x:v>
      </x:c>
      <x:c r="F31" s="11" t="n">
        <x:v>70</x:v>
      </x:c>
      <x:c r="G31" s="13" t="n">
        <x:v>0.8</x:v>
      </x:c>
      <x:c r="H31" s="14" t="n">
        <x:f>IF(ISNUMBER(G31),F31*G31,0)</x:f>
        <x:v>56</x:v>
      </x:c>
      <x:c r="I31" s="14" t="n">
        <x:v>0</x:v>
      </x:c>
      <x:c r="J31" s="14" t="n">
        <x:f>IF(ISNUMBER(G31),F31*G31*I31*1.2,0)</x:f>
        <x:v>0</x:v>
      </x:c>
      <x:c r="K31" s="9" t="str">
        <x:v>REQUIRED / HOLD O03</x:v>
      </x:c>
      <x:c r="L31" s="9" t="str">
        <x:v>Length estimate; pinout, gauge and current rating not released.</x:v>
      </x:c>
    </x:row>
    <x:row r="32" ht="44" customHeight="1">
      <x:c r="A32" s="10" t="str">
        <x:v>W28</x:v>
      </x:c>
      <x:c r="B32" s="10" t="str">
        <x:v>WR_ADHERENT_IOCTRL_TO_DOORACT_R1</x:v>
      </x:c>
      <x:c r="C32" s="10" t="str">
        <x:v>IOCTRL RO5–RO8 reserved; actuator circuits not defined</x:v>
      </x:c>
      <x:c r="D32" s="10" t="str">
        <x:v>4c 22 AWG R-B-Y-G (TBD with actuator set)</x:v>
      </x:c>
      <x:c r="E32" s="10" t="str">
        <x:v>ferrule (IOCTRL relay terminals) → TBD</x:v>
      </x:c>
      <x:c r="F32" s="12" t="n">
        <x:v>0</x:v>
      </x:c>
      <x:c r="G32" s="15" t="n">
        <x:v>0</x:v>
      </x:c>
      <x:c r="H32" s="16" t="n">
        <x:f>IF(ISNUMBER(G32),F32*G32,0)</x:f>
        <x:v>0</x:v>
      </x:c>
      <x:c r="I32" s="16" t="n">
        <x:v>1</x:v>
      </x:c>
      <x:c r="J32" s="16" t="n">
        <x:f>IF(ISNUMBER(G32),F32*G32*I32*1.2,0)</x:f>
        <x:v>0</x:v>
      </x:c>
      <x:c r="K32" s="10" t="str">
        <x:v>OPTION / excluded</x:v>
      </x:c>
      <x:c r="L32" s="10" t="str">
        <x:v>Not in approved baseline; quantity zero is intentional.</x:v>
      </x:c>
    </x:row>
    <x:row r="33" ht="44" customHeight="1">
      <x:c r="A33" s="9" t="str">
        <x:v>W29</x:v>
      </x:c>
      <x:c r="B33" s="9" t="str">
        <x:v>WR_ADHERENT_SYSCTRL_TO_XDRIVE_24V_R1</x:v>
      </x:c>
      <x:c r="C33" s="9" t="str">
        <x:v>SYSCTRL F15 / proposed 24 V output → X drive</x:v>
      </x:c>
      <x:c r="D33" s="9" t="str">
        <x:v>Flexible power pair; gauge TBC; 24 V compatibility unverified</x:v>
      </x:c>
      <x:c r="E33" s="9" t="str">
        <x:v>SYSCTRL mating power connector TBC → native / selected load connector</x:v>
      </x:c>
      <x:c r="F33" s="11" t="n">
        <x:v>1</x:v>
      </x:c>
      <x:c r="G33" s="13" t="n">
        <x:v>1.2</x:v>
      </x:c>
      <x:c r="H33" s="14" t="n">
        <x:f>IF(ISNUMBER(G33),F33*G33,0)</x:f>
        <x:v>1.2</x:v>
      </x:c>
      <x:c r="I33" s="14" t="n">
        <x:v>0</x:v>
      </x:c>
      <x:c r="J33" s="14" t="n">
        <x:f>IF(ISNUMBER(G33),F33*G33*I33*1.2,0)</x:f>
        <x:v>0</x:v>
      </x:c>
      <x:c r="K33" s="9" t="str">
        <x:v>REQUIRED / HOLD O01</x:v>
      </x:c>
      <x:c r="L33" s="9" t="str">
        <x:v>Length estimate; pinout, gauge and current rating not released.</x:v>
      </x:c>
    </x:row>
    <x:row r="34" ht="44" customHeight="1">
      <x:c r="A34" s="10" t="str">
        <x:v>W30</x:v>
      </x:c>
      <x:c r="B34" s="10" t="str">
        <x:v>WR_ADHERENT_SYSCTRL_TO_ZDRIVE_24V_R1</x:v>
      </x:c>
      <x:c r="C34" s="10" t="str">
        <x:v>SYSCTRL F16 / proposed 24 V output → Z drive</x:v>
      </x:c>
      <x:c r="D34" s="10" t="str">
        <x:v>Flexible power pair; gauge TBC; 24 V compatibility unverified</x:v>
      </x:c>
      <x:c r="E34" s="10" t="str">
        <x:v>SYSCTRL mating power connector TBC → native / selected load connector</x:v>
      </x:c>
      <x:c r="F34" s="12" t="n">
        <x:v>1</x:v>
      </x:c>
      <x:c r="G34" s="15" t="n">
        <x:v>2.2</x:v>
      </x:c>
      <x:c r="H34" s="16" t="n">
        <x:f>IF(ISNUMBER(G34),F34*G34,0)</x:f>
        <x:v>2.2</x:v>
      </x:c>
      <x:c r="I34" s="16" t="n">
        <x:v>0</x:v>
      </x:c>
      <x:c r="J34" s="16" t="n">
        <x:f>IF(ISNUMBER(G34),F34*G34*I34*1.2,0)</x:f>
        <x:v>0</x:v>
      </x:c>
      <x:c r="K34" s="10" t="str">
        <x:v>REQUIRED / HOLD O01</x:v>
      </x:c>
      <x:c r="L34" s="10" t="str">
        <x:v>Length estimate; pinout, gauge and current rating not released.</x:v>
      </x:c>
    </x:row>
    <x:row r="35" ht="44" customHeight="1">
      <x:c r="A35" s="9" t="str">
        <x:v>W31</x:v>
      </x:c>
      <x:c r="B35" s="9" t="str">
        <x:v>WR_ADHERENT_ACIN_TO_PSU48_R1</x:v>
      </x:c>
      <x:c r="C35" s="9" t="str">
        <x:v>AC inlet → PSU3 (48 V)</x:v>
      </x:c>
      <x:c r="D35" s="9" t="str">
        <x:v>3 × 18 AWG L / N / PE (exception)</x:v>
      </x:c>
      <x:c r="E35" s="9" t="str">
        <x:v>ferrule → screw terminal</x:v>
      </x:c>
      <x:c r="F35" s="11" t="n">
        <x:v>0</x:v>
      </x:c>
      <x:c r="G35" s="13" t="n">
        <x:v>0.4</x:v>
      </x:c>
      <x:c r="H35" s="14" t="n">
        <x:f>IF(ISNUMBER(G35),F35*G35,0)</x:f>
        <x:v>0</x:v>
      </x:c>
      <x:c r="I35" s="14" t="n">
        <x:v>0</x:v>
      </x:c>
      <x:c r="J35" s="14" t="n">
        <x:f>IF(ISNUMBER(G35),F35*G35*I35*1.2,0)</x:f>
        <x:v>0</x:v>
      </x:c>
      <x:c r="K35" s="9" t="str">
        <x:v>RETIRED</x:v>
      </x:c>
      <x:c r="L35" s="9" t="str">
        <x:v>Removed with separate PSU2/PSU3. Not procured.</x:v>
      </x:c>
    </x:row>
    <x:row r="36" ht="44" customHeight="1">
      <x:c r="A36" s="10" t="str">
        <x:v>W32</x:v>
      </x:c>
      <x:c r="B36" s="10" t="str">
        <x:v>WR_ADHERENT_PSU48_TO_DIST_R1</x:v>
      </x:c>
      <x:c r="C36" s="10" t="str">
        <x:v>PSU3 → DIN fuse block</x:v>
      </x:c>
      <x:c r="D36" s="10" t="str">
        <x:v>2 × 16 AWG red / black, 10 A (exception)</x:v>
      </x:c>
      <x:c r="E36" s="10" t="str">
        <x:v>ferrule both ends</x:v>
      </x:c>
      <x:c r="F36" s="12" t="n">
        <x:v>0</x:v>
      </x:c>
      <x:c r="G36" s="15" t="n">
        <x:v>0.5</x:v>
      </x:c>
      <x:c r="H36" s="16" t="n">
        <x:f>IF(ISNUMBER(G36),F36*G36,0)</x:f>
        <x:v>0</x:v>
      </x:c>
      <x:c r="I36" s="16" t="n">
        <x:v>0</x:v>
      </x:c>
      <x:c r="J36" s="16" t="n">
        <x:f>IF(ISNUMBER(G36),F36*G36*I36*1.2,0)</x:f>
        <x:v>0</x:v>
      </x:c>
      <x:c r="K36" s="10" t="str">
        <x:v>RETIRED</x:v>
      </x:c>
      <x:c r="L36" s="10" t="str">
        <x:v>Removed with separate PSU2/PSU3. Not procured.</x:v>
      </x:c>
    </x:row>
    <x:row r="37" ht="44" customHeight="1">
      <x:c r="A37" s="9" t="str">
        <x:v>W33</x:v>
      </x:c>
      <x:c r="B37" s="9" t="str">
        <x:v>WR_ADHERENT_MAINCTRL_TO_IOCTRL_R1</x:v>
      </x:c>
      <x:c r="C37" s="9" t="str">
        <x:v>MAINCTRL RS485 port → IOCTRL RS485</x:v>
      </x:c>
      <x:c r="D37" s="9" t="str">
        <x:v>RS485 twisted A/B pair + signal reference; shield/drain separate</x:v>
      </x:c>
      <x:c r="E37" s="9" t="str">
        <x:v>ferrule (MYD RS485 terminal) ↔ ferrule (IOCTRL RS485 terminal)</x:v>
      </x:c>
      <x:c r="F37" s="11" t="n">
        <x:v>1</x:v>
      </x:c>
      <x:c r="G37" s="13" t="n">
        <x:v>1.5</x:v>
      </x:c>
      <x:c r="H37" s="14" t="n">
        <x:f>IF(ISNUMBER(G37),F37*G37,0)</x:f>
        <x:v>1.5</x:v>
      </x:c>
      <x:c r="I37" s="14" t="n">
        <x:v>0</x:v>
      </x:c>
      <x:c r="J37" s="14" t="n">
        <x:f>IF(ISNUMBER(G37),F37*G37*I37*1.2,0)</x:f>
        <x:v>0</x:v>
      </x:c>
      <x:c r="K37" s="9" t="str">
        <x:v>REQUIRED / provisional</x:v>
      </x:c>
      <x:c r="L37" s="9" t="str">
        <x:v>Verify A/B naming, isolated-side common, bias and two end terminations.</x:v>
      </x:c>
    </x:row>
    <x:row r="38" ht="44" customHeight="1">
      <x:c r="A38" s="10" t="str">
        <x:v>W34</x:v>
      </x:c>
      <x:c r="B38" s="10" t="str">
        <x:v>WR_ADHERENT_SYSCTRL_TO_IOCTRL_R1</x:v>
      </x:c>
      <x:c r="C38" s="10" t="str">
        <x:v>SYSCTRL F17 / 24 V output → IOCTRL module power</x:v>
      </x:c>
      <x:c r="D38" s="10" t="str">
        <x:v>24 V power pair; gauge TBC</x:v>
      </x:c>
      <x:c r="E38" s="10" t="str">
        <x:v>SYSCTRL mating power connector TBC → native / selected load connector</x:v>
      </x:c>
      <x:c r="F38" s="12" t="n">
        <x:v>1</x:v>
      </x:c>
      <x:c r="G38" s="15" t="n">
        <x:v>1.5</x:v>
      </x:c>
      <x:c r="H38" s="16" t="n">
        <x:f>IF(ISNUMBER(G38),F38*G38,0)</x:f>
        <x:v>1.5</x:v>
      </x:c>
      <x:c r="I38" s="16" t="n">
        <x:v>0</x:v>
      </x:c>
      <x:c r="J38" s="16" t="n">
        <x:f>IF(ISNUMBER(G38),F38*G38*I38*1.2,0)</x:f>
        <x:v>0</x:v>
      </x:c>
      <x:c r="K38" s="10" t="str">
        <x:v>REQUIRED / provisional</x:v>
      </x:c>
      <x:c r="L38" s="10" t="str">
        <x:v>Length estimate; pinout, gauge and current rating not released.</x:v>
      </x:c>
    </x:row>
    <x:row r="39" ht="44" customHeight="1">
      <x:c r="A39" s="9" t="str">
        <x:v>W35</x:v>
      </x:c>
      <x:c r="B39" s="9" t="str">
        <x:v>WR_ADHERENT_SYSCTRL12_TO_IOCTRL_COM_R1</x:v>
      </x:c>
      <x:c r="C39" s="9" t="str">
        <x:v>SYSCTRL F18 / derived 12 V output → IOCTRL relay COM and latch returns</x:v>
      </x:c>
      <x:c r="D39" s="9" t="str">
        <x:v>Power pair; gauge TBC</x:v>
      </x:c>
      <x:c r="E39" s="9" t="str">
        <x:v>SYSCTRL mating power connector TBC → native / selected load connector</x:v>
      </x:c>
      <x:c r="F39" s="11" t="n">
        <x:v>1</x:v>
      </x:c>
      <x:c r="G39" s="13" t="n">
        <x:v>1.5</x:v>
      </x:c>
      <x:c r="H39" s="14" t="n">
        <x:f>IF(ISNUMBER(G39),F39*G39,0)</x:f>
        <x:v>1.5</x:v>
      </x:c>
      <x:c r="I39" s="14" t="n">
        <x:v>0</x:v>
      </x:c>
      <x:c r="J39" s="14" t="n">
        <x:f>IF(ISNUMBER(G39),F39*G39*I39*1.2,0)</x:f>
        <x:v>0</x:v>
      </x:c>
      <x:c r="K39" s="9" t="str">
        <x:v>REQUIRED / provisional</x:v>
      </x:c>
      <x:c r="L39" s="9" t="str">
        <x:v>Separate from 24 V module power W34.</x:v>
      </x:c>
    </x:row>
    <x:row r="40" ht="44" customHeight="1">
      <x:c r="A40" s="10" t="str">
        <x:v>W36</x:v>
      </x:c>
      <x:c r="B40" s="10" t="str">
        <x:v>WR_ADHERENT_SYSCTRL_TO_STACKLIGHT_R1</x:v>
      </x:c>
      <x:c r="C40" s="10" t="str">
        <x:v>SYSCTRL J44 → stack light</x:v>
      </x:c>
      <x:c r="D40" s="10" t="str">
        <x:v>12 V status outputs + return; conductor count TBC</x:v>
      </x:c>
      <x:c r="E40" s="10" t="str">
        <x:v>connector TBC</x:v>
      </x:c>
      <x:c r="F40" s="12" t="n">
        <x:v>1</x:v>
      </x:c>
      <x:c r="G40" s="15"/>
      <x:c r="H40" s="16" t="n">
        <x:f>IF(ISNUMBER(G40),F40*G40,0)</x:f>
        <x:v>0</x:v>
      </x:c>
      <x:c r="I40" s="16" t="n">
        <x:v>0</x:v>
      </x:c>
      <x:c r="J40" s="16" t="n">
        <x:f>IF(ISNUMBER(G40),F40*G40*I40*1.2,0)</x:f>
        <x:v>0</x:v>
      </x:c>
      <x:c r="K40" s="10" t="str">
        <x:v>REQUIRED / HOLD O15</x:v>
      </x:c>
      <x:c r="L40" s="10" t="str">
        <x:v>Missing route estimate; light MPN and output topology TBC.</x:v>
      </x:c>
    </x:row>
    <x:row r="41" ht="44" customHeight="1">
      <x:c r="A41" s="9" t="str">
        <x:v>W37</x:v>
      </x:c>
      <x:c r="B41" s="9" t="str">
        <x:v>WR_ADHERENT_PE_BONDING_R1</x:v>
      </x:c>
      <x:c r="C41" s="9" t="str">
        <x:v>AC inlet PE → chassis, exposed metal and PSU FG</x:v>
      </x:c>
      <x:c r="D41" s="9" t="str">
        <x:v>Protective-earth bonding assembly; gauge TBC</x:v>
      </x:c>
      <x:c r="E41" s="9" t="str">
        <x:v>bonding lugs/terminals TBC</x:v>
      </x:c>
      <x:c r="F41" s="11" t="n">
        <x:v>1</x:v>
      </x:c>
      <x:c r="G41" s="13"/>
      <x:c r="H41" s="14" t="n">
        <x:f>IF(ISNUMBER(G41),F41*G41,0)</x:f>
        <x:v>0</x:v>
      </x:c>
      <x:c r="I41" s="14" t="n">
        <x:v>0</x:v>
      </x:c>
      <x:c r="J41" s="14" t="n">
        <x:f>IF(ISNUMBER(G41),F41*G41*I41*1.2,0)</x:f>
        <x:v>0</x:v>
      </x:c>
      <x:c r="K41" s="9" t="str">
        <x:v>REQUIRED / HOLD O14</x:v>
      </x:c>
      <x:c r="L41" s="9" t="str">
        <x:v>One assembly, multiple bonds; bond count/length must be measured.</x:v>
      </x:c>
    </x:row>
    <x:row r="42" ht="44" customHeight="1">
      <x:c r="A42" s="10" t="str">
        <x:v>W38</x:v>
      </x:c>
      <x:c r="B42" s="10" t="str">
        <x:v>WR_ADHERENT_SITE_TO_RJ45_R1</x:v>
      </x:c>
      <x:c r="C42" s="10" t="str">
        <x:v>Site LAN → rear J2 McMaster 1422N13</x:v>
      </x:c>
      <x:c r="D42" s="10" t="str">
        <x:v>Ethernet patch; site length</x:v>
      </x:c>
      <x:c r="E42" s="10" t="str">
        <x:v>RJ45/RJ45</x:v>
      </x:c>
      <x:c r="F42" s="12" t="n">
        <x:v>0</x:v>
      </x:c>
      <x:c r="G42" s="15"/>
      <x:c r="H42" s="16" t="n">
        <x:f>IF(ISNUMBER(G42),F42*G42,0)</x:f>
        <x:v>0</x:v>
      </x:c>
      <x:c r="I42" s="16" t="n">
        <x:v>0</x:v>
      </x:c>
      <x:c r="J42" s="16" t="n">
        <x:f>IF(ISNUMBER(G42),F42*G42*I42*1.2,0)</x:f>
        <x:v>0</x:v>
      </x:c>
      <x:c r="K42" s="10" t="str">
        <x:v>SITE-SUPPLIED / excluded</x:v>
      </x:c>
      <x:c r="L42" s="10" t="str">
        <x:v>External customer cable; not counted in cabinet harness procurement.</x:v>
      </x:c>
    </x:row>
    <x:row r="43" ht="44" customHeight="1">
      <x:c r="A43" s="9" t="str">
        <x:v>W39</x:v>
      </x:c>
      <x:c r="B43" s="9" t="str">
        <x:v>WR_ADHERENT_SUPPLY_TO_MARKER_R1</x:v>
      </x:c>
      <x:c r="C43" s="9" t="str">
        <x:v>Selected supply → label marker</x:v>
      </x:c>
      <x:c r="D43" s="9" t="str">
        <x:v>Input voltage/gauge/protection TBC</x:v>
      </x:c>
      <x:c r="E43" s="9" t="str">
        <x:v>TBC</x:v>
      </x:c>
      <x:c r="F43" s="11" t="n">
        <x:v>1</x:v>
      </x:c>
      <x:c r="G43" s="13"/>
      <x:c r="H43" s="14" t="n">
        <x:f>IF(ISNUMBER(G43),F43*G43,0)</x:f>
        <x:v>0</x:v>
      </x:c>
      <x:c r="I43" s="14" t="n">
        <x:v>0</x:v>
      </x:c>
      <x:c r="J43" s="14" t="n">
        <x:f>IF(ISNUMBER(G43),F43*G43*I43*1.2,0)</x:f>
        <x:v>0</x:v>
      </x:c>
      <x:c r="K43" s="9" t="str">
        <x:v>REQUIRED / HOLD O11</x:v>
      </x:c>
      <x:c r="L43" s="9" t="str">
        <x:v>No additional AC/DC PSU assumed. Resolve marker power before release.</x:v>
      </x:c>
    </x:row>
    <x:row r="44">
      <x:c r="G44" s="17"/>
      <x:c r="H44" s="17"/>
      <x:c r="I44" s="17"/>
      <x:c r="J44" s="17"/>
    </x:row>
    <x:row r="45">
      <x:c r="A45" t="str">
        <x:v>Known totals only; unresolved rows remain below</x:v>
      </x:c>
      <x:c r="F45" t="n">
        <x:f>SUM(F5:F43)</x:f>
        <x:v>123</x:v>
      </x:c>
      <x:c r="G45" s="17"/>
      <x:c r="H45" s="17" t="n">
        <x:f>SUM(H5:H43)</x:f>
        <x:v>109.5</x:v>
      </x:c>
      <x:c r="I45" s="17"/>
      <x:c r="J45" s="17" t="n">
        <x:f>SUM(J5:J43)</x:f>
        <x:v>3.7199999999999998</x:v>
      </x:c>
    </x:row>
    <x:row r="46">
      <x:c r="A46" t="str">
        <x:v>Required cable types with missing length</x:v>
      </x:c>
      <x:c r="F46" s="18" t="n">
        <x:f>SUM(IF(AND(F5&gt;0,NOT(ISNUMBER(G5))),1,0),IF(AND(F6&gt;0,NOT(ISNUMBER(G6))),1,0),IF(AND(F7&gt;0,NOT(ISNUMBER(G7))),1,0),IF(AND(F8&gt;0,NOT(ISNUMBER(G8))),1,0),IF(AND(F9&gt;0,NOT(ISNUMBER(G9))),1,0),IF(AND(F10&gt;0,NOT(ISNUMBER(G10))),1,0),IF(AND(F11&gt;0,NOT(ISNUMBER(G11))),1,0),IF(AND(F12&gt;0,NOT(ISNUMBER(G12))),1,0),IF(AND(F13&gt;0,NOT(ISNUMBER(G13))),1,0),IF(AND(F14&gt;0,NOT(ISNUMBER(G14))),1,0),IF(AND(F15&gt;0,NOT(ISNUMBER(G15))),1,0),IF(AND(F16&gt;0,NOT(ISNUMBER(G16))),1,0),IF(AND(F17&gt;0,NOT(ISNUMBER(G17))),1,0),IF(AND(F18&gt;0,NOT(ISNUMBER(G18))),1,0),IF(AND(F19&gt;0,NOT(ISNUMBER(G19))),1,0),IF(AND(F20&gt;0,NOT(ISNUMBER(G20))),1,0),IF(AND(F21&gt;0,NOT(ISNUMBER(G21))),1,0),IF(AND(F22&gt;0,NOT(ISNUMBER(G22))),1,0),IF(AND(F23&gt;0,NOT(ISNUMBER(G23))),1,0),IF(AND(F24&gt;0,NOT(ISNUMBER(G24))),1,0),IF(AND(F25&gt;0,NOT(ISNUMBER(G25))),1,0),IF(AND(F26&gt;0,NOT(ISNUMBER(G26))),1,0),IF(AND(F27&gt;0,NOT(ISNUMBER(G27))),1,0),IF(AND(F28&gt;0,NOT(ISNUMBER(G28))),1,0),IF(AND(F29&gt;0,NOT(ISNUMBER(G29))),1,0),IF(AND(F30&gt;0,NOT(ISNUMBER(G30))),1,0),IF(AND(F31&gt;0,NOT(ISNUMBER(G31))),1,0),IF(AND(F32&gt;0,NOT(ISNUMBER(G32))),1,0),IF(AND(F33&gt;0,NOT(ISNUMBER(G33))),1,0),IF(AND(F34&gt;0,NOT(ISNUMBER(G34))),1,0),IF(AND(F35&gt;0,NOT(ISNUMBER(G35))),1,0),IF(AND(F36&gt;0,NOT(ISNUMBER(G36))),1,0),IF(AND(F37&gt;0,NOT(ISNUMBER(G37))),1,0),IF(AND(F38&gt;0,NOT(ISNUMBER(G38))),1,0),IF(AND(F39&gt;0,NOT(ISNUMBER(G39))),1,0),IF(AND(F40&gt;0,NOT(ISNUMBER(G40))),1,0),IF(AND(F41&gt;0,NOT(ISNUMBER(G41))),1,0),IF(AND(F42&gt;0,NOT(ISNUMBER(G42))),1,0),IF(AND(F43&gt;0,NOT(ISNUMBER(G43))),1,0))</x:f>
        <x:v>5</x:v>
      </x:c>
      <x:c r="G46" s="17"/>
      <x:c r="H46" s="17"/>
      <x:c r="I46" s="17"/>
      <x:c r="J46" s="17"/>
    </x:row>
    <x:row r="47" ht="34" customHeight="1">
      <x:c r="A47" s="19" t="str">
        <x:v>Column I counts only runs currently allocated to standard 4-core stock. Zero means an exception or unselected cable, not free material. Final lengths, stock, crimps and mating parts remain HOLD O06/O15.</x:v>
      </x:c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</x:row>
  </x:sheetData>
  <x:mergeCells>
    <x:mergeCell ref="A1:L1"/>
    <x:mergeCell ref="A2:L2"/>
    <x:mergeCell ref="A45:E45"/>
    <x:mergeCell ref="A46:E46"/>
    <x:mergeCell ref="A47:L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46" hidden="0" customWidth="1"/>
    <x:col min="4" max="4" width="13" hidden="0" customWidth="1"/>
    <x:col min="5" max="5" width="20" hidden="0" customWidth="1"/>
    <x:col min="6" max="6" width="12" hidden="0" customWidth="1"/>
    <x:col min="7" max="7" width="19" hidden="0" customWidth="1"/>
    <x:col min="8" max="8" width="83" hidden="0" customWidth="1"/>
  </x:cols>
  <x:sheetData>
    <x:row r="1" ht="32" customHeight="1">
      <x:c r="A1" s="5" t="str">
        <x:v>Branch protection schedule</x:v>
      </x:c>
      <x:c r="B1" s="5"/>
      <x:c r="C1" s="5"/>
      <x:c r="D1" s="5"/>
      <x:c r="E1" s="5"/>
      <x:c r="F1" s="5"/>
      <x:c r="G1" s="5"/>
      <x:c r="H1" s="5"/>
    </x:row>
    <x:row r="2" ht="42" customHeight="1">
      <x:c r="A2" s="3" t="str">
        <x:v>18 functional branch references retained. Protection technology, placement and actual fuse/holder purchase quantities remain TBC; no separate 17-position DIN block.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8" t="str">
        <x:v>Fuse</x:v>
      </x:c>
      <x:c r="B4" s="8" t="str">
        <x:v>Rail (V)</x:v>
      </x:c>
      <x:c r="C4" s="8" t="str">
        <x:v>Protected load</x:v>
      </x:c>
      <x:c r="D4" s="8" t="str">
        <x:v>Candidate A</x:v>
      </x:c>
      <x:c r="E4" s="8" t="str">
        <x:v>Location</x:v>
      </x:c>
      <x:c r="F4" s="8" t="str">
        <x:v>Branch references</x:v>
      </x:c>
      <x:c r="G4" s="8" t="str">
        <x:v>Cable</x:v>
      </x:c>
      <x:c r="H4" s="8" t="str">
        <x:v>Sizing / verification</x:v>
      </x:c>
    </x:row>
    <x:row r="5" ht="44" customHeight="1">
      <x:c r="A5" s="9" t="str">
        <x:v>F1–F10</x:v>
      </x:c>
      <x:c r="B5" s="9" t="n">
        <x:v>24</x:v>
      </x:c>
      <x:c r="C5" s="9" t="str">
        <x:v>LANECTRL motor feeders</x:v>
      </x:c>
      <x:c r="D5" s="9" t="n">
        <x:v>5</x:v>
      </x:c>
      <x:c r="E5" s="9" t="str">
        <x:v>SYSCTRL branch; placement TBC</x:v>
      </x:c>
      <x:c r="F5" s="9" t="n">
        <x:v>10</x:v>
      </x:c>
      <x:c r="G5" s="9" t="str">
        <x:v>W24</x:v>
      </x:c>
      <x:c r="H5" s="9" t="str">
        <x:v>Candidate only; 7 x 2 A exceeds 5 A per row. O03/O04/O06.</x:v>
      </x:c>
    </x:row>
    <x:row r="6" ht="44" customHeight="1">
      <x:c r="A6" s="10" t="str">
        <x:v>F11</x:v>
      </x:c>
      <x:c r="B6" s="10" t="n">
        <x:v>24</x:v>
      </x:c>
      <x:c r="C6" s="10" t="str">
        <x:v>SYSCTRL motor/brake rail</x:v>
      </x:c>
      <x:c r="D6" s="10" t="n">
        <x:v>6</x:v>
      </x:c>
      <x:c r="E6" s="10" t="str">
        <x:v>SYSCTRL branch; placement TBC</x:v>
      </x:c>
      <x:c r="F6" s="10" t="n">
        <x:v>1</x:v>
      </x:c>
      <x:c r="G6" s="10" t="str">
        <x:v>Internal branch</x:v>
      </x:c>
      <x:c r="H6" s="10" t="str">
        <x:v>Candidate; actual motor input and brake currents TBC.</x:v>
      </x:c>
    </x:row>
    <x:row r="7" ht="44" customHeight="1">
      <x:c r="A7" s="9" t="str">
        <x:v>F12</x:v>
      </x:c>
      <x:c r="B7" s="9" t="n">
        <x:v>24</x:v>
      </x:c>
      <x:c r="C7" s="9" t="str">
        <x:v>SYSCTRL 24→12 V converter input</x:v>
      </x:c>
      <x:c r="D7" s="9"/>
      <x:c r="E7" s="9" t="str">
        <x:v>SYSCTRL branch; placement TBC</x:v>
      </x:c>
      <x:c r="F7" s="9" t="n">
        <x:v>1</x:v>
      </x:c>
      <x:c r="G7" s="9" t="str">
        <x:v>Internal SMPS branch</x:v>
      </x:c>
      <x:c r="H7" s="9" t="str">
        <x:v>Size for selected SMPS input, efficiency and inrush. Select protection/holder technology after current is known; no 6.3 A holder assumption.</x:v>
      </x:c>
    </x:row>
    <x:row r="8" ht="44" customHeight="1">
      <x:c r="A8" s="10" t="str">
        <x:v>F13</x:v>
      </x:c>
      <x:c r="B8" s="10" t="n">
        <x:v>12</x:v>
      </x:c>
      <x:c r="C8" s="10" t="str">
        <x:v>MAINCTRL</x:v>
      </x:c>
      <x:c r="D8" s="10" t="n">
        <x:v>3</x:v>
      </x:c>
      <x:c r="E8" s="10" t="str">
        <x:v>SYSCTRL branch; placement TBC</x:v>
      </x:c>
      <x:c r="F8" s="10" t="n">
        <x:v>1</x:v>
      </x:c>
      <x:c r="G8" s="10" t="str">
        <x:v>W05</x:v>
      </x:c>
      <x:c r="H8" s="10" t="str">
        <x:v>Candidate; MYIR adapter rating 2 A, startup pending.</x:v>
      </x:c>
    </x:row>
    <x:row r="9" ht="44" customHeight="1">
      <x:c r="A9" s="9" t="str">
        <x:v>F14</x:v>
      </x:c>
      <x:c r="B9" s="9" t="n">
        <x:v>12</x:v>
      </x:c>
      <x:c r="C9" s="9" t="str">
        <x:v>LANECTRL shared logic feed</x:v>
      </x:c>
      <x:c r="D9" s="9" t="n">
        <x:v>3</x:v>
      </x:c>
      <x:c r="E9" s="9" t="str">
        <x:v>SYSCTRL PCB</x:v>
      </x:c>
      <x:c r="F9" s="9" t="n">
        <x:v>1</x:v>
      </x:c>
      <x:c r="G9" s="9" t="str">
        <x:v>W25/W26</x:v>
      </x:c>
      <x:c r="H9" s="9" t="str">
        <x:v>Candidate; first link carries all ten boards, check voltage drop.</x:v>
      </x:c>
    </x:row>
    <x:row r="10" ht="44" customHeight="1">
      <x:c r="A10" s="10" t="str">
        <x:v>F15</x:v>
      </x:c>
      <x:c r="B10" s="10" t="n">
        <x:v>24</x:v>
      </x:c>
      <x:c r="C10" s="10" t="str">
        <x:v>X drive</x:v>
      </x:c>
      <x:c r="D10" s="10"/>
      <x:c r="E10" s="10" t="str">
        <x:v>SYSCTRL branch; placement TBC</x:v>
      </x:c>
      <x:c r="F10" s="10" t="n">
        <x:v>1</x:v>
      </x:c>
      <x:c r="G10" s="10" t="str">
        <x:v>W29</x:v>
      </x:c>
      <x:c r="H10" s="10" t="str">
        <x:v>Drive 24 V compatibility/input current pending O01.</x:v>
      </x:c>
    </x:row>
    <x:row r="11" ht="44" customHeight="1">
      <x:c r="A11" s="9" t="str">
        <x:v>F16</x:v>
      </x:c>
      <x:c r="B11" s="9" t="n">
        <x:v>24</x:v>
      </x:c>
      <x:c r="C11" s="9" t="str">
        <x:v>Z drive</x:v>
      </x:c>
      <x:c r="D11" s="9"/>
      <x:c r="E11" s="9" t="str">
        <x:v>SYSCTRL branch; placement TBC</x:v>
      </x:c>
      <x:c r="F11" s="9" t="n">
        <x:v>1</x:v>
      </x:c>
      <x:c r="G11" s="9" t="str">
        <x:v>W30</x:v>
      </x:c>
      <x:c r="H11" s="9" t="str">
        <x:v>Drive 24 V compatibility/input current pending O01.</x:v>
      </x:c>
    </x:row>
    <x:row r="12" ht="44" customHeight="1">
      <x:c r="A12" s="10" t="str">
        <x:v>F17</x:v>
      </x:c>
      <x:c r="B12" s="10" t="n">
        <x:v>24</x:v>
      </x:c>
      <x:c r="C12" s="10" t="str">
        <x:v>IOCTRL module only</x:v>
      </x:c>
      <x:c r="D12" s="10"/>
      <x:c r="E12" s="10" t="str">
        <x:v>SYSCTRL branch; placement TBC</x:v>
      </x:c>
      <x:c r="F12" s="10" t="n">
        <x:v>1</x:v>
      </x:c>
      <x:c r="G12" s="10" t="str">
        <x:v>W34</x:v>
      </x:c>
      <x:c r="H12" s="10" t="str">
        <x:v>Measure module input; does not supply latch contacts.</x:v>
      </x:c>
    </x:row>
    <x:row r="13" ht="44" customHeight="1">
      <x:c r="A13" s="9" t="str">
        <x:v>F18</x:v>
      </x:c>
      <x:c r="B13" s="9" t="n">
        <x:v>12</x:v>
      </x:c>
      <x:c r="C13" s="9" t="str">
        <x:v>IOCTRL relay contacts / latches</x:v>
      </x:c>
      <x:c r="D13" s="9"/>
      <x:c r="E13" s="9" t="str">
        <x:v>SYSCTRL branch; placement TBC</x:v>
      </x:c>
      <x:c r="F13" s="9" t="n">
        <x:v>1</x:v>
      </x:c>
      <x:c r="G13" s="9" t="str">
        <x:v>W35</x:v>
      </x:c>
      <x:c r="H13" s="9" t="str">
        <x:v>Select for actual latch load and duty.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11" hidden="0" customWidth="1"/>
    <x:col min="5" max="5" width="13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5" hidden="0" customWidth="1"/>
    <x:col min="11" max="11" width="13" hidden="0" customWidth="1"/>
    <x:col min="12" max="12" width="87" hidden="0" customWidth="1"/>
  </x:cols>
  <x:sheetData>
    <x:row r="1" ht="32" customHeight="1">
      <x:c r="A1" s="5" t="str">
        <x:v>Power budget and unresolved inputs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3" t="str">
        <x:v>One 24 V system input to SYSCTRL. Known direct loads plus one onboard 12 V SMPS input; internal wiring changes do not remove electrical loads. Unknown loads block approval.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6" customHeight="1">
      <x:c r="A4" s="8" t="str">
        <x:v>Rail V</x:v>
      </x:c>
      <x:c r="B4" s="8" t="str">
        <x:v>Fuse / branch</x:v>
      </x:c>
      <x:c r="C4" s="8" t="str">
        <x:v>Load</x:v>
      </x:c>
      <x:c r="D4" s="8" t="str">
        <x:v>Installed</x:v>
      </x:c>
      <x:c r="E4" s="8" t="str">
        <x:v>On: typical</x:v>
      </x:c>
      <x:c r="F4" s="8" t="str">
        <x:v>On: peak</x:v>
      </x:c>
      <x:c r="G4" s="8" t="str">
        <x:v>A/unit typical</x:v>
      </x:c>
      <x:c r="H4" s="8" t="str">
        <x:v>A/unit peak</x:v>
      </x:c>
      <x:c r="I4" s="8" t="str">
        <x:v>Known typical A</x:v>
      </x:c>
      <x:c r="J4" s="8" t="str">
        <x:v>Known peak A</x:v>
      </x:c>
      <x:c r="K4" s="8" t="str">
        <x:v>Missing input</x:v>
      </x:c>
      <x:c r="L4" s="8" t="str">
        <x:v>Source / assumption</x:v>
      </x:c>
    </x:row>
    <x:row r="5" ht="44" customHeight="1">
      <x:c r="A5" s="9" t="n">
        <x:v>24</x:v>
      </x:c>
      <x:c r="B5" s="9" t="str">
        <x:v>F1–F10</x:v>
      </x:c>
      <x:c r="C5" s="9" t="str">
        <x:v>Conveyors</x:v>
      </x:c>
      <x:c r="D5" s="9" t="n">
        <x:v>70</x:v>
      </x:c>
      <x:c r="E5" s="11" t="n">
        <x:v>1</x:v>
      </x:c>
      <x:c r="F5" s="11" t="n">
        <x:v>1</x:v>
      </x:c>
      <x:c r="G5" s="20" t="n">
        <x:v>0.6</x:v>
      </x:c>
      <x:c r="H5" s="20" t="n">
        <x:v>2</x:v>
      </x:c>
      <x:c r="I5" s="21" t="n">
        <x:f>IF(ISNUMBER(G5),E5*G5,0)</x:f>
        <x:v>0.6</x:v>
      </x:c>
      <x:c r="J5" s="21" t="n">
        <x:f>IF(ISNUMBER(H5),F5*H5,0)</x:f>
        <x:v>2</x:v>
      </x:c>
      <x:c r="K5" s="9" t="n">
        <x:f>IF(OR(AND(E5&gt;0,NOT(ISNUMBER(G5))),AND(F5&gt;0,NOT(ISNUMBER(H5)))),1,0)</x:f>
        <x:v>0</x:v>
      </x:c>
      <x:c r="L5" s="9" t="str">
        <x:v>S06 / O03/O04: .6 A loaded and 2 A limit are planning assumptions; not measured.</x:v>
      </x:c>
    </x:row>
    <x:row r="6" ht="44" customHeight="1">
      <x:c r="A6" s="10" t="n">
        <x:v>24</x:v>
      </x:c>
      <x:c r="B6" s="10" t="str">
        <x:v>F1–F10</x:v>
      </x:c>
      <x:c r="C6" s="10" t="str">
        <x:v>LANECTRL motor-stage losses</x:v>
      </x:c>
      <x:c r="D6" s="10" t="n">
        <x:v>10</x:v>
      </x:c>
      <x:c r="E6" s="12" t="n">
        <x:v>10</x:v>
      </x:c>
      <x:c r="F6" s="12" t="n">
        <x:v>10</x:v>
      </x:c>
      <x:c r="G6" s="22" t="n">
        <x:v>0.02</x:v>
      </x:c>
      <x:c r="H6" s="22" t="n">
        <x:v>0.05</x:v>
      </x:c>
      <x:c r="I6" s="23" t="n">
        <x:f>IF(ISNUMBER(G6),E6*G6,0)</x:f>
        <x:v>0.2</x:v>
      </x:c>
      <x:c r="J6" s="23" t="n">
        <x:f>IF(ISNUMBER(H6),F6*H6,0)</x:f>
        <x:v>0.5</x:v>
      </x:c>
      <x:c r="K6" s="10" t="n">
        <x:f>IF(OR(AND(E6&gt;0,NOT(ISNUMBER(G6))),AND(F6&gt;0,NOT(ISNUMBER(H6)))),1,0)</x:f>
        <x:v>0</x:v>
      </x:c>
      <x:c r="L6" s="10" t="str">
        <x:v>Planning estimate.</x:v>
      </x:c>
    </x:row>
    <x:row r="7" ht="44" customHeight="1">
      <x:c r="A7" s="9" t="n">
        <x:v>24</x:v>
      </x:c>
      <x:c r="B7" s="9" t="str">
        <x:v>F11</x:v>
      </x:c>
      <x:c r="C7" s="9" t="str">
        <x:v>Chuck rotate stepper + driver</x:v>
      </x:c>
      <x:c r="D7" s="9" t="n">
        <x:v>1</x:v>
      </x:c>
      <x:c r="E7" s="11" t="n">
        <x:v>1</x:v>
      </x:c>
      <x:c r="F7" s="11" t="n">
        <x:v>1</x:v>
      </x:c>
      <x:c r="G7" s="20" t="n">
        <x:v>1.5</x:v>
      </x:c>
      <x:c r="H7" s="20" t="n">
        <x:v>3</x:v>
      </x:c>
      <x:c r="I7" s="21" t="n">
        <x:f>IF(ISNUMBER(G7),E7*G7,0)</x:f>
        <x:v>1.5</x:v>
      </x:c>
      <x:c r="J7" s="21" t="n">
        <x:f>IF(ISNUMBER(H7),F7*H7,0)</x:f>
        <x:v>3</x:v>
      </x:c>
      <x:c r="K7" s="9" t="n">
        <x:f>IF(OR(AND(E7&gt;0,NOT(ISNUMBER(G7))),AND(F7&gt;0,NOT(ISNUMBER(H7)))),1,0)</x:f>
        <x:v>0</x:v>
      </x:c>
      <x:c r="L7" s="9" t="str">
        <x:v>Supply-current estimate; verify with selected motor/driver.</x:v>
      </x:c>
    </x:row>
    <x:row r="8" ht="44" customHeight="1">
      <x:c r="A8" s="10" t="n">
        <x:v>24</x:v>
      </x:c>
      <x:c r="B8" s="10" t="str">
        <x:v>F11</x:v>
      </x:c>
      <x:c r="C8" s="10" t="str">
        <x:v>Chuck jaw stepper + driver</x:v>
      </x:c>
      <x:c r="D8" s="10" t="n">
        <x:v>1</x:v>
      </x:c>
      <x:c r="E8" s="12" t="n">
        <x:v>1</x:v>
      </x:c>
      <x:c r="F8" s="12" t="n">
        <x:v>1</x:v>
      </x:c>
      <x:c r="G8" s="22" t="n">
        <x:v>0.4</x:v>
      </x:c>
      <x:c r="H8" s="22" t="n">
        <x:v>0.8</x:v>
      </x:c>
      <x:c r="I8" s="23" t="n">
        <x:f>IF(ISNUMBER(G8),E8*G8,0)</x:f>
        <x:v>0.4</x:v>
      </x:c>
      <x:c r="J8" s="23" t="n">
        <x:f>IF(ISNUMBER(H8),F8*H8,0)</x:f>
        <x:v>0.8</x:v>
      </x:c>
      <x:c r="K8" s="10" t="n">
        <x:f>IF(OR(AND(E8&gt;0,NOT(ISNUMBER(G8))),AND(F8&gt;0,NOT(ISNUMBER(H8)))),1,0)</x:f>
        <x:v>0</x:v>
      </x:c>
      <x:c r="L8" s="10" t="str">
        <x:v>Supply-current estimate; verify with selected motor/driver.</x:v>
      </x:c>
    </x:row>
    <x:row r="9" ht="44" customHeight="1">
      <x:c r="A9" s="9" t="n">
        <x:v>24</x:v>
      </x:c>
      <x:c r="B9" s="9" t="str">
        <x:v>F11</x:v>
      </x:c>
      <x:c r="C9" s="9" t="str">
        <x:v>Gantry brake coils</x:v>
      </x:c>
      <x:c r="D9" s="9" t="n">
        <x:v>2</x:v>
      </x:c>
      <x:c r="E9" s="11" t="n">
        <x:v>2</x:v>
      </x:c>
      <x:c r="F9" s="11" t="n">
        <x:v>2</x:v>
      </x:c>
      <x:c r="G9" s="20" t="n">
        <x:v>0.3</x:v>
      </x:c>
      <x:c r="H9" s="20" t="n">
        <x:v>0.4</x:v>
      </x:c>
      <x:c r="I9" s="21" t="n">
        <x:f>IF(ISNUMBER(G9),E9*G9,0)</x:f>
        <x:v>0.6</x:v>
      </x:c>
      <x:c r="J9" s="21" t="n">
        <x:f>IF(ISNUMBER(H9),F9*H9,0)</x:f>
        <x:v>0.8</x:v>
      </x:c>
      <x:c r="K9" s="9" t="n">
        <x:f>IF(OR(AND(E9&gt;0,NOT(ISNUMBER(G9))),AND(F9&gt;0,NOT(ISNUMBER(H9)))),1,0)</x:f>
        <x:v>0</x:v>
      </x:c>
      <x:c r="L9" s="9" t="str">
        <x:v>24 V and current are unverified planning assumptions; O01.</x:v>
      </x:c>
    </x:row>
    <x:row r="10" ht="44" customHeight="1">
      <x:c r="A10" s="10" t="n">
        <x:v>24</x:v>
      </x:c>
      <x:c r="B10" s="10" t="str">
        <x:v>F17</x:v>
      </x:c>
      <x:c r="C10" s="10" t="str">
        <x:v>IOCTRL module</x:v>
      </x:c>
      <x:c r="D10" s="10" t="n">
        <x:v>1</x:v>
      </x:c>
      <x:c r="E10" s="12" t="n">
        <x:v>1</x:v>
      </x:c>
      <x:c r="F10" s="12" t="n">
        <x:v>1</x:v>
      </x:c>
      <x:c r="G10" s="22"/>
      <x:c r="H10" s="22"/>
      <x:c r="I10" s="23" t="n">
        <x:f>IF(ISNUMBER(G10),E10*G10,0)</x:f>
        <x:v>0</x:v>
      </x:c>
      <x:c r="J10" s="23" t="n">
        <x:f>IF(ISNUMBER(H10),F10*H10,0)</x:f>
        <x:v>0</x:v>
      </x:c>
      <x:c r="K10" s="10" t="n">
        <x:f>IF(OR(AND(E10&gt;0,NOT(ISNUMBER(G10))),AND(F10&gt;0,NOT(ISNUMBER(H10)))),1,0)</x:f>
        <x:v>1</x:v>
      </x:c>
      <x:c r="L10" s="10" t="str">
        <x:v>Measure module input at 24 V; relay-coil internal current is not module supply current.</x:v>
      </x:c>
    </x:row>
    <x:row r="11" ht="44" customHeight="1">
      <x:c r="A11" s="9" t="n">
        <x:v>24</x:v>
      </x:c>
      <x:c r="B11" s="9" t="str">
        <x:v>F15</x:v>
      </x:c>
      <x:c r="C11" s="9" t="str">
        <x:v>X drive supply input</x:v>
      </x:c>
      <x:c r="D11" s="9" t="n">
        <x:v>1</x:v>
      </x:c>
      <x:c r="E11" s="11" t="n">
        <x:v>1</x:v>
      </x:c>
      <x:c r="F11" s="11" t="n">
        <x:v>1</x:v>
      </x:c>
      <x:c r="G11" s="20"/>
      <x:c r="H11" s="20"/>
      <x:c r="I11" s="21" t="n">
        <x:f>IF(ISNUMBER(G11),E11*G11,0)</x:f>
        <x:v>0</x:v>
      </x:c>
      <x:c r="J11" s="21" t="n">
        <x:f>IF(ISNUMBER(H11),F11*H11,0)</x:f>
        <x:v>0</x:v>
      </x:c>
      <x:c r="K11" s="9" t="n">
        <x:f>IF(OR(AND(E11&gt;0,NOT(ISNUMBER(G11))),AND(F11&gt;0,NOT(ISNUMBER(H11)))),1,0)</x:f>
        <x:v>1</x:v>
      </x:c>
      <x:c r="L11" s="9" t="str">
        <x:v>O01: 4 A motor phase current must not be used as supply input current.</x:v>
      </x:c>
    </x:row>
    <x:row r="12" ht="44" customHeight="1">
      <x:c r="A12" s="10" t="n">
        <x:v>24</x:v>
      </x:c>
      <x:c r="B12" s="10" t="str">
        <x:v>F16</x:v>
      </x:c>
      <x:c r="C12" s="10" t="str">
        <x:v>Z drive supply input</x:v>
      </x:c>
      <x:c r="D12" s="10" t="n">
        <x:v>1</x:v>
      </x:c>
      <x:c r="E12" s="12" t="n">
        <x:v>1</x:v>
      </x:c>
      <x:c r="F12" s="12" t="n">
        <x:v>1</x:v>
      </x:c>
      <x:c r="G12" s="22"/>
      <x:c r="H12" s="22"/>
      <x:c r="I12" s="23" t="n">
        <x:f>IF(ISNUMBER(G12),E12*G12,0)</x:f>
        <x:v>0</x:v>
      </x:c>
      <x:c r="J12" s="23" t="n">
        <x:f>IF(ISNUMBER(H12),F12*H12,0)</x:f>
        <x:v>0</x:v>
      </x:c>
      <x:c r="K12" s="10" t="n">
        <x:f>IF(OR(AND(E12&gt;0,NOT(ISNUMBER(G12))),AND(F12&gt;0,NOT(ISNUMBER(H12)))),1,0)</x:f>
        <x:v>1</x:v>
      </x:c>
      <x:c r="L12" s="10" t="str">
        <x:v>O01: 24 V compatibility and actual input current unknown.</x:v>
      </x:c>
    </x:row>
    <x:row r="13" ht="44" customHeight="1">
      <x:c r="A13" s="9" t="n">
        <x:v>12</x:v>
      </x:c>
      <x:c r="B13" s="9" t="str">
        <x:v>F13</x:v>
      </x:c>
      <x:c r="C13" s="9" t="str">
        <x:v>MAINCTRL</x:v>
      </x:c>
      <x:c r="D13" s="9" t="n">
        <x:v>1</x:v>
      </x:c>
      <x:c r="E13" s="11" t="n">
        <x:v>1</x:v>
      </x:c>
      <x:c r="F13" s="11" t="n">
        <x:v>1</x:v>
      </x:c>
      <x:c r="G13" s="20" t="n">
        <x:v>0.5</x:v>
      </x:c>
      <x:c r="H13" s="20" t="n">
        <x:v>2</x:v>
      </x:c>
      <x:c r="I13" s="21" t="n">
        <x:f>IF(ISNUMBER(G13),E13*G13,0)</x:f>
        <x:v>0.5</x:v>
      </x:c>
      <x:c r="J13" s="21" t="n">
        <x:f>IF(ISNUMBER(H13),F13*H13,0)</x:f>
        <x:v>2</x:v>
      </x:c>
      <x:c r="K13" s="9" t="n">
        <x:f>IF(OR(AND(E13&gt;0,NOT(ISNUMBER(G13))),AND(F13&gt;0,NOT(ISNUMBER(H13)))),1,0)</x:f>
        <x:v>0</x:v>
      </x:c>
      <x:c r="L13" s="9" t="str">
        <x:v>S03: adapter rating 2 A is a budget, not a measured current; .5 A typical estimate.</x:v>
      </x:c>
    </x:row>
    <x:row r="14" ht="44" customHeight="1">
      <x:c r="A14" s="10" t="n">
        <x:v>12</x:v>
      </x:c>
      <x:c r="B14" s="10" t="str">
        <x:v>SYSCTRL local</x:v>
      </x:c>
      <x:c r="C14" s="10" t="str">
        <x:v>SYSCTRL logic</x:v>
      </x:c>
      <x:c r="D14" s="10" t="n">
        <x:v>1</x:v>
      </x:c>
      <x:c r="E14" s="12" t="n">
        <x:v>1</x:v>
      </x:c>
      <x:c r="F14" s="12" t="n">
        <x:v>1</x:v>
      </x:c>
      <x:c r="G14" s="22" t="n">
        <x:v>0.3</x:v>
      </x:c>
      <x:c r="H14" s="22" t="n">
        <x:v>0.4</x:v>
      </x:c>
      <x:c r="I14" s="23" t="n">
        <x:f>IF(ISNUMBER(G14),E14*G14,0)</x:f>
        <x:v>0.3</x:v>
      </x:c>
      <x:c r="J14" s="23" t="n">
        <x:f>IF(ISNUMBER(H14),F14*H14,0)</x:f>
        <x:v>0.4</x:v>
      </x:c>
      <x:c r="K14" s="10" t="n">
        <x:f>IF(OR(AND(E14&gt;0,NOT(ISNUMBER(G14))),AND(F14&gt;0,NOT(ISNUMBER(H14)))),1,0)</x:f>
        <x:v>0</x:v>
      </x:c>
      <x:c r="L14" s="10" t="str">
        <x:v>Planning estimate.</x:v>
      </x:c>
    </x:row>
    <x:row r="15" ht="44" customHeight="1">
      <x:c r="A15" s="9" t="n">
        <x:v>12</x:v>
      </x:c>
      <x:c r="B15" s="9" t="str">
        <x:v>SYSCTRL local</x:v>
      </x:c>
      <x:c r="C15" s="9" t="str">
        <x:v>Servo via local regulator</x:v>
      </x:c>
      <x:c r="D15" s="9" t="n">
        <x:v>1</x:v>
      </x:c>
      <x:c r="E15" s="11" t="n">
        <x:v>1</x:v>
      </x:c>
      <x:c r="F15" s="11" t="n">
        <x:v>1</x:v>
      </x:c>
      <x:c r="G15" s="20" t="n">
        <x:v>0.3</x:v>
      </x:c>
      <x:c r="H15" s="20" t="n">
        <x:v>1.5</x:v>
      </x:c>
      <x:c r="I15" s="21" t="n">
        <x:f>IF(ISNUMBER(G15),E15*G15,0)</x:f>
        <x:v>0.3</x:v>
      </x:c>
      <x:c r="J15" s="21" t="n">
        <x:f>IF(ISNUMBER(H15),F15*H15,0)</x:f>
        <x:v>1.5</x:v>
      </x:c>
      <x:c r="K15" s="9" t="n">
        <x:f>IF(OR(AND(E15&gt;0,NOT(ISNUMBER(G15))),AND(F15&gt;0,NOT(ISNUMBER(H15)))),1,0)</x:f>
        <x:v>0</x:v>
      </x:c>
      <x:c r="L15" s="9" t="str">
        <x:v>Planning 12 V input estimate including local conversion; variant/voltage TBC O10.</x:v>
      </x:c>
    </x:row>
    <x:row r="16" ht="44" customHeight="1">
      <x:c r="A16" s="10" t="n">
        <x:v>12</x:v>
      </x:c>
      <x:c r="B16" s="10" t="str">
        <x:v>SYSCTRL local</x:v>
      </x:c>
      <x:c r="C16" s="10" t="str">
        <x:v>Stack light</x:v>
      </x:c>
      <x:c r="D16" s="10" t="n">
        <x:v>1</x:v>
      </x:c>
      <x:c r="E16" s="12" t="n">
        <x:v>1</x:v>
      </x:c>
      <x:c r="F16" s="12" t="n">
        <x:v>1</x:v>
      </x:c>
      <x:c r="G16" s="22" t="n">
        <x:v>0.2</x:v>
      </x:c>
      <x:c r="H16" s="22" t="n">
        <x:v>0.3</x:v>
      </x:c>
      <x:c r="I16" s="23" t="n">
        <x:f>IF(ISNUMBER(G16),E16*G16,0)</x:f>
        <x:v>0.2</x:v>
      </x:c>
      <x:c r="J16" s="23" t="n">
        <x:f>IF(ISNUMBER(H16),F16*H16,0)</x:f>
        <x:v>0.3</x:v>
      </x:c>
      <x:c r="K16" s="10" t="n">
        <x:f>IF(OR(AND(E16&gt;0,NOT(ISNUMBER(G16))),AND(F16&gt;0,NOT(ISNUMBER(H16)))),1,0)</x:f>
        <x:v>0</x:v>
      </x:c>
      <x:c r="L16" s="10" t="str">
        <x:v>Planning estimate; model and W36 pending.</x:v>
      </x:c>
    </x:row>
    <x:row r="17" ht="44" customHeight="1">
      <x:c r="A17" s="9" t="n">
        <x:v>12</x:v>
      </x:c>
      <x:c r="B17" s="9" t="str">
        <x:v>F14</x:v>
      </x:c>
      <x:c r="C17" s="9" t="str">
        <x:v>LANECTRL logic + LEDs</x:v>
      </x:c>
      <x:c r="D17" s="9" t="n">
        <x:v>10</x:v>
      </x:c>
      <x:c r="E17" s="11" t="n">
        <x:v>10</x:v>
      </x:c>
      <x:c r="F17" s="11" t="n">
        <x:v>10</x:v>
      </x:c>
      <x:c r="G17" s="20" t="n">
        <x:v>0.15</x:v>
      </x:c>
      <x:c r="H17" s="20" t="n">
        <x:v>0.25</x:v>
      </x:c>
      <x:c r="I17" s="21" t="n">
        <x:f>IF(ISNUMBER(G17),E17*G17,0)</x:f>
        <x:v>1.5</x:v>
      </x:c>
      <x:c r="J17" s="21" t="n">
        <x:f>IF(ISNUMBER(H17),F17*H17,0)</x:f>
        <x:v>2.5</x:v>
      </x:c>
      <x:c r="K17" s="9" t="n">
        <x:f>IF(OR(AND(E17&gt;0,NOT(ISNUMBER(G17))),AND(F17&gt;0,NOT(ISNUMBER(H17)))),1,0)</x:f>
        <x:v>0</x:v>
      </x:c>
      <x:c r="L17" s="9" t="str">
        <x:v>Planning estimate; shared first cable carries all ten boards.</x:v>
      </x:c>
    </x:row>
    <x:row r="18" ht="44" customHeight="1">
      <x:c r="A18" s="10" t="n">
        <x:v>12</x:v>
      </x:c>
      <x:c r="B18" s="10" t="str">
        <x:v>F18</x:v>
      </x:c>
      <x:c r="C18" s="10" t="str">
        <x:v>Latches</x:v>
      </x:c>
      <x:c r="D18" s="10" t="n">
        <x:v>4</x:v>
      </x:c>
      <x:c r="E18" s="12" t="n">
        <x:v>0</x:v>
      </x:c>
      <x:c r="F18" s="12" t="n">
        <x:v>1</x:v>
      </x:c>
      <x:c r="G18" s="22" t="n">
        <x:v>0.6</x:v>
      </x:c>
      <x:c r="H18" s="22" t="n">
        <x:v>0.6</x:v>
      </x:c>
      <x:c r="I18" s="23" t="n">
        <x:f>IF(ISNUMBER(G18),E18*G18,0)</x:f>
        <x:v>0</x:v>
      </x:c>
      <x:c r="J18" s="23" t="n">
        <x:f>IF(ISNUMBER(H18),F18*H18,0)</x:f>
        <x:v>0.6</x:v>
      </x:c>
      <x:c r="K18" s="10" t="n">
        <x:f>IF(OR(AND(E18&gt;0,NOT(ISNUMBER(G18))),AND(F18&gt;0,NOT(ISNUMBER(H18)))),1,0)</x:f>
        <x:v>0</x:v>
      </x:c>
      <x:c r="L18" s="10" t="str">
        <x:v>Planning: one latch active at a time; confirm duty/MPN/concurrency.</x:v>
      </x:c>
    </x:row>
    <x:row r="19" ht="44" customHeight="1">
      <x:c r="A19" s="9" t="n">
        <x:v>12</x:v>
      </x:c>
      <x:c r="B19" s="9" t="str">
        <x:v>SYSCTRL local</x:v>
      </x:c>
      <x:c r="C19" s="9" t="str">
        <x:v>Gantry sensors</x:v>
      </x:c>
      <x:c r="D19" s="9" t="n">
        <x:v>6</x:v>
      </x:c>
      <x:c r="E19" s="11" t="n">
        <x:v>6</x:v>
      </x:c>
      <x:c r="F19" s="11" t="n">
        <x:v>6</x:v>
      </x:c>
      <x:c r="G19" s="20" t="n">
        <x:v>0.012</x:v>
      </x:c>
      <x:c r="H19" s="20" t="n">
        <x:v>0.012</x:v>
      </x:c>
      <x:c r="I19" s="21" t="n">
        <x:f>IF(ISNUMBER(G19),E19*G19,0)</x:f>
        <x:v>0.07200000000000001</x:v>
      </x:c>
      <x:c r="J19" s="21" t="n">
        <x:f>IF(ISNUMBER(H19),F19*H19,0)</x:f>
        <x:v>0.07200000000000001</x:v>
      </x:c>
      <x:c r="K19" s="9" t="n">
        <x:f>IF(OR(AND(E19&gt;0,NOT(ISNUMBER(G19))),AND(F19&gt;0,NOT(ISNUMBER(H19)))),1,0)</x:f>
        <x:v>0</x:v>
      </x:c>
      <x:c r="L19" s="9" t="str">
        <x:v>Legacy allowance; verify exact sensor maximum and input circuit.</x:v>
      </x:c>
    </x:row>
    <x:row r="20" ht="44" customHeight="1">
      <x:c r="A20" s="10" t="n">
        <x:v>12</x:v>
      </x:c>
      <x:c r="B20" s="10" t="str">
        <x:v>SYSCTRL local</x:v>
      </x:c>
      <x:c r="C20" s="10" t="str">
        <x:v>Jaw home sensor</x:v>
      </x:c>
      <x:c r="D20" s="10" t="n">
        <x:v>1</x:v>
      </x:c>
      <x:c r="E20" s="12" t="n">
        <x:v>1</x:v>
      </x:c>
      <x:c r="F20" s="12" t="n">
        <x:v>1</x:v>
      </x:c>
      <x:c r="G20" s="22" t="n">
        <x:v>0.012</x:v>
      </x:c>
      <x:c r="H20" s="22" t="n">
        <x:v>0.02</x:v>
      </x:c>
      <x:c r="I20" s="23" t="n">
        <x:f>IF(ISNUMBER(G20),E20*G20,0)</x:f>
        <x:v>0.012</x:v>
      </x:c>
      <x:c r="J20" s="23" t="n">
        <x:f>IF(ISNUMBER(H20),F20*H20,0)</x:f>
        <x:v>0.02</x:v>
      </x:c>
      <x:c r="K20" s="10" t="n">
        <x:f>IF(OR(AND(E20&gt;0,NOT(ISNUMBER(G20))),AND(F20&gt;0,NOT(ISNUMBER(H20)))),1,0)</x:f>
        <x:v>0</x:v>
      </x:c>
      <x:c r="L20" s="10" t="str">
        <x:v>Planning estimate; model TBC.</x:v>
      </x:c>
    </x:row>
    <x:row r="21" ht="44" customHeight="1">
      <x:c r="A21" s="9" t="n">
        <x:v>12</x:v>
      </x:c>
      <x:c r="B21" s="9" t="str">
        <x:v>Not assigned</x:v>
      </x:c>
      <x:c r="C21" s="9" t="str">
        <x:v>Optional interior lights</x:v>
      </x:c>
      <x:c r="D21" s="9" t="n">
        <x:v>0</x:v>
      </x:c>
      <x:c r="E21" s="11" t="n">
        <x:v>0</x:v>
      </x:c>
      <x:c r="F21" s="11" t="n">
        <x:v>0</x:v>
      </x:c>
      <x:c r="G21" s="20" t="n">
        <x:v>1</x:v>
      </x:c>
      <x:c r="H21" s="20" t="n">
        <x:v>1</x:v>
      </x:c>
      <x:c r="I21" s="21" t="n">
        <x:f>IF(ISNUMBER(G21),E21*G21,0)</x:f>
        <x:v>0</x:v>
      </x:c>
      <x:c r="J21" s="21" t="n">
        <x:f>IF(ISNUMBER(H21),F21*H21,0)</x:f>
        <x:v>0</x:v>
      </x:c>
      <x:c r="K21" s="9" t="n">
        <x:f>IF(OR(AND(E21&gt;0,NOT(ISNUMBER(G21))),AND(F21&gt;0,NOT(ISNUMBER(H21)))),1,0)</x:f>
        <x:v>0</x:v>
      </x:c>
      <x:c r="L21" s="9" t="str">
        <x:v>Excluded until approved; no current budget committed.</x:v>
      </x:c>
    </x:row>
    <x:row r="22" ht="75" customHeight="1">
      <x:c r="A22" s="32" t="str">
        <x:v>TBC</x:v>
      </x:c>
      <x:c r="B22" s="32" t="str">
        <x:v>Unassigned</x:v>
      </x:c>
      <x:c r="C22" s="32" t="str">
        <x:v>NFC reader / front end</x:v>
      </x:c>
      <x:c r="D22" s="32" t="n">
        <x:v>1</x:v>
      </x:c>
      <x:c r="E22" s="32" t="n">
        <x:v>1</x:v>
      </x:c>
      <x:c r="F22" s="32" t="n">
        <x:v>1</x:v>
      </x:c>
      <x:c r="G22" s="32"/>
      <x:c r="H22" s="32"/>
      <x:c r="I22" s="32" t="n">
        <x:f>IF(ISNUMBER(G22),E22*G22,0)</x:f>
        <x:v>0</x:v>
      </x:c>
      <x:c r="J22" s="32" t="n">
        <x:f>IF(ISNUMBER(H22),F22*H22,0)</x:f>
        <x:v>0</x:v>
      </x:c>
      <x:c r="K22" s="32" t="n">
        <x:f>IF(OR(AND(A22&lt;&gt;12,A22&lt;&gt;24),NOT(ISNUMBER(G22)),NOT(ISNUMBER(H22))),1,0)</x:f>
        <x:v>1</x:v>
      </x:c>
      <x:c r="L22" s="32" t="str">
        <x:v>O16: reader not selected. Enter 12/24 V system-side rail and input current including any local conversion. Other rail values remain unresolved and outside known subtotal.</x:v>
      </x:c>
    </x:row>
    <x:row r="25" ht="29" customHeight="1">
      <x:c r="A25" s="25" t="str">
        <x:v>Planning parameters</x:v>
      </x:c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</x:row>
    <x:row r="26" ht="29" customHeight="1">
      <x:c r="A26" s="19" t="str">
        <x:v>Parameter</x:v>
      </x:c>
      <x:c r="B26" s="19"/>
      <x:c r="C26" s="19"/>
      <x:c r="D26" s="19"/>
      <x:c r="E26" s="19"/>
      <x:c r="F26" s="19"/>
      <x:c r="G26" s="19" t="str">
        <x:v>Value / interpretation</x:v>
      </x:c>
      <x:c r="H26" s="19"/>
      <x:c r="I26" s="19"/>
      <x:c r="J26" s="19"/>
      <x:c r="K26" s="19"/>
      <x:c r="L26" s="19"/>
    </x:row>
    <x:row r="29" ht="29" customHeight="1">
      <x:c r="A29" s="19" t="str">
        <x:v>PSU output voltage (V)</x:v>
      </x:c>
      <x:c r="B29" s="19"/>
      <x:c r="C29" s="19"/>
      <x:c r="D29" s="19"/>
      <x:c r="E29" s="19"/>
      <x:c r="F29" s="19"/>
      <x:c r="G29" s="26" t="n">
        <x:v>24</x:v>
      </x:c>
      <x:c r="H29" s="19"/>
      <x:c r="I29" s="19"/>
      <x:c r="J29" s="19"/>
      <x:c r="K29" s="19"/>
      <x:c r="L29" s="19"/>
    </x:row>
    <x:row r="30" ht="29" customHeight="1">
      <x:c r="A30" s="19" t="str">
        <x:v>PSU rated current (A)</x:v>
      </x:c>
      <x:c r="B30" s="19"/>
      <x:c r="C30" s="19"/>
      <x:c r="D30" s="19"/>
      <x:c r="E30" s="19"/>
      <x:c r="F30" s="19"/>
      <x:c r="G30" s="26" t="n">
        <x:v>21</x:v>
      </x:c>
      <x:c r="H30" s="19"/>
      <x:c r="I30" s="19"/>
      <x:c r="J30" s="19"/>
      <x:c r="K30" s="19"/>
      <x:c r="L30" s="19"/>
    </x:row>
    <x:row r="31" ht="29" customHeight="1">
      <x:c r="A31" s="19" t="str">
        <x:v>PSU rated output (W)</x:v>
      </x:c>
      <x:c r="B31" s="19"/>
      <x:c r="C31" s="19"/>
      <x:c r="D31" s="19"/>
      <x:c r="E31" s="19"/>
      <x:c r="F31" s="19"/>
      <x:c r="G31" s="26" t="n">
        <x:f>G29*G30</x:f>
        <x:v>504</x:v>
      </x:c>
      <x:c r="H31" s="19"/>
      <x:c r="I31" s="19"/>
      <x:c r="J31" s="19"/>
      <x:c r="K31" s="19"/>
      <x:c r="L31" s="19"/>
    </x:row>
    <x:row r="32" ht="29" customHeight="1">
      <x:c r="A32" s="19" t="str">
        <x:v>12 V buck efficiency (assumed)</x:v>
      </x:c>
      <x:c r="B32" s="19"/>
      <x:c r="C32" s="19"/>
      <x:c r="D32" s="19"/>
      <x:c r="E32" s="19"/>
      <x:c r="F32" s="19"/>
      <x:c r="G32" s="27" t="n">
        <x:v>0.9</x:v>
      </x:c>
      <x:c r="H32" s="19"/>
      <x:c r="I32" s="19"/>
      <x:c r="J32" s="19"/>
      <x:c r="K32" s="19"/>
      <x:c r="L32" s="19"/>
    </x:row>
    <x:row r="33" ht="29" customHeight="1">
      <x:c r="A33" s="19" t="str">
        <x:v>Selected buck continuous output (A)</x:v>
      </x:c>
      <x:c r="B33" s="19"/>
      <x:c r="C33" s="19"/>
      <x:c r="D33" s="19"/>
      <x:c r="E33" s="19"/>
      <x:c r="F33" s="19"/>
      <x:c r="G33" s="26"/>
      <x:c r="H33" s="19"/>
      <x:c r="I33" s="19"/>
      <x:c r="J33" s="19"/>
      <x:c r="K33" s="19"/>
      <x:c r="L33" s="19"/>
    </x:row>
    <x:row r="34" ht="29" customHeight="1">
      <x:c r="A34" s="19" t="str">
        <x:v>Planning reserve fraction</x:v>
      </x:c>
      <x:c r="B34" s="19"/>
      <x:c r="C34" s="19"/>
      <x:c r="D34" s="19"/>
      <x:c r="E34" s="19"/>
      <x:c r="F34" s="19"/>
      <x:c r="G34" s="27" t="n">
        <x:v>0.2</x:v>
      </x:c>
      <x:c r="H34" s="19"/>
      <x:c r="I34" s="19"/>
      <x:c r="J34" s="19"/>
      <x:c r="K34" s="19"/>
      <x:c r="L34" s="19"/>
    </x:row>
    <x:row r="35" ht="29" customHeight="1">
      <x:c r="A35" s="19" t="str">
        <x:v>PSU derating factor (verify installation)</x:v>
      </x:c>
      <x:c r="B35" s="19"/>
      <x:c r="C35" s="19"/>
      <x:c r="D35" s="19"/>
      <x:c r="E35" s="19"/>
      <x:c r="F35" s="19"/>
      <x:c r="G35" s="27" t="n">
        <x:v>1</x:v>
      </x:c>
      <x:c r="H35" s="19"/>
      <x:c r="I35" s="19"/>
      <x:c r="J35" s="19"/>
      <x:c r="K35" s="19"/>
      <x:c r="L35" s="19"/>
    </x:row>
    <x:row r="37" ht="29" customHeight="1">
      <x:c r="A37" s="25" t="str">
        <x:v>Known demand and release gates</x:v>
      </x:c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</x:row>
    <x:row r="38" ht="29" customHeight="1">
      <x:c r="A38" s="19" t="str">
        <x:v>Direct 24 V typical subtotal (A)</x:v>
      </x:c>
      <x:c r="B38" s="19"/>
      <x:c r="C38" s="19"/>
      <x:c r="D38" s="19"/>
      <x:c r="E38" s="19"/>
      <x:c r="F38" s="19"/>
      <x:c r="G38" s="28" t="n">
        <x:f>SUMIF(A5:A22,24,I5:I22)</x:f>
        <x:v>3.3</x:v>
      </x:c>
      <x:c r="H38" s="19"/>
      <x:c r="I38" s="19"/>
      <x:c r="J38" s="19"/>
      <x:c r="K38" s="19"/>
      <x:c r="L38" s="19"/>
    </x:row>
    <x:row r="39" ht="29" customHeight="1">
      <x:c r="A39" s="19" t="str">
        <x:v>Direct 24 V peak subtotal (A)</x:v>
      </x:c>
      <x:c r="B39" s="19"/>
      <x:c r="C39" s="19"/>
      <x:c r="D39" s="19"/>
      <x:c r="E39" s="19"/>
      <x:c r="F39" s="19"/>
      <x:c r="G39" s="28" t="n">
        <x:f>SUMIF(A5:A22,24,J5:J22)</x:f>
        <x:v>7.1</x:v>
      </x:c>
      <x:c r="H39" s="19"/>
      <x:c r="I39" s="19"/>
      <x:c r="J39" s="19"/>
      <x:c r="K39" s="19"/>
      <x:c r="L39" s="19"/>
    </x:row>
    <x:row r="40" ht="29" customHeight="1">
      <x:c r="A40" s="19" t="str">
        <x:v>Derived 12 V typical subtotal (A)</x:v>
      </x:c>
      <x:c r="B40" s="19"/>
      <x:c r="C40" s="19"/>
      <x:c r="D40" s="19"/>
      <x:c r="E40" s="19"/>
      <x:c r="F40" s="19"/>
      <x:c r="G40" s="28" t="n">
        <x:f>SUMIF(A5:A22,12,I5:I22)</x:f>
        <x:v>2.884</x:v>
      </x:c>
      <x:c r="H40" s="19"/>
      <x:c r="I40" s="19"/>
      <x:c r="J40" s="19"/>
      <x:c r="K40" s="19"/>
      <x:c r="L40" s="19"/>
    </x:row>
    <x:row r="41" ht="29" customHeight="1">
      <x:c r="A41" s="19" t="str">
        <x:v>Derived 12 V peak subtotal (A)</x:v>
      </x:c>
      <x:c r="B41" s="19"/>
      <x:c r="C41" s="19"/>
      <x:c r="D41" s="19"/>
      <x:c r="E41" s="19"/>
      <x:c r="F41" s="19"/>
      <x:c r="G41" s="28" t="n">
        <x:f>SUMIF(A5:A22,12,J5:J22)</x:f>
        <x:v>7.3919999999999995</x:v>
      </x:c>
      <x:c r="H41" s="19"/>
      <x:c r="I41" s="19"/>
      <x:c r="J41" s="19"/>
      <x:c r="K41" s="19"/>
      <x:c r="L41" s="19"/>
    </x:row>
    <x:row r="42" ht="29" customHeight="1">
      <x:c r="A42" s="19" t="str">
        <x:v>Buck input at 24 V, peak (A)</x:v>
      </x:c>
      <x:c r="B42" s="19"/>
      <x:c r="C42" s="19"/>
      <x:c r="D42" s="19"/>
      <x:c r="E42" s="19"/>
      <x:c r="F42" s="19"/>
      <x:c r="G42" s="28" t="n">
        <x:f>IF(AND(G29&gt;0,G32&gt;0,G32&lt;=1),G41*12/(G29*G32),"INVALID INPUT")</x:f>
        <x:v>4.1066666666666665</x:v>
      </x:c>
      <x:c r="H42" s="19"/>
      <x:c r="I42" s="19"/>
      <x:c r="J42" s="19"/>
      <x:c r="K42" s="19"/>
      <x:c r="L42" s="19"/>
    </x:row>
    <x:row r="43" ht="29" customHeight="1">
      <x:c r="A43" s="19" t="str">
        <x:v>Total known PSU peak subtotal (A)</x:v>
      </x:c>
      <x:c r="B43" s="19"/>
      <x:c r="C43" s="19"/>
      <x:c r="D43" s="19"/>
      <x:c r="E43" s="19"/>
      <x:c r="F43" s="19"/>
      <x:c r="G43" s="28" t="n">
        <x:f>IF(ISNUMBER(G42),G39+G42,"INVALID INPUT")</x:f>
        <x:v>11.206666666666667</x:v>
      </x:c>
      <x:c r="H43" s="19"/>
      <x:c r="I43" s="19"/>
      <x:c r="J43" s="19"/>
      <x:c r="K43" s="19"/>
      <x:c r="L43" s="19"/>
    </x:row>
    <x:row r="44" ht="29" customHeight="1">
      <x:c r="A44" s="19" t="str">
        <x:v>Total known PSU peak subtotal (W)</x:v>
      </x:c>
      <x:c r="B44" s="19"/>
      <x:c r="C44" s="19"/>
      <x:c r="D44" s="19"/>
      <x:c r="E44" s="19"/>
      <x:c r="F44" s="19"/>
      <x:c r="G44" s="28" t="n">
        <x:f>IF(ISNUMBER(G43),G43*G29,"INVALID INPUT")</x:f>
        <x:v>268.96000000000004</x:v>
      </x:c>
      <x:c r="H44" s="19"/>
      <x:c r="I44" s="19"/>
      <x:c r="J44" s="19"/>
      <x:c r="K44" s="19"/>
      <x:c r="L44" s="19"/>
    </x:row>
    <x:row r="45" ht="29" customHeight="1">
      <x:c r="A45" s="19" t="str">
        <x:v>Required loads missing current input</x:v>
      </x:c>
      <x:c r="B45" s="19"/>
      <x:c r="C45" s="19"/>
      <x:c r="D45" s="19"/>
      <x:c r="E45" s="19"/>
      <x:c r="F45" s="19"/>
      <x:c r="G45" s="19" t="n">
        <x:f>SUM(K5:K22)</x:f>
        <x:v>4</x:v>
      </x:c>
      <x:c r="H45" s="19"/>
      <x:c r="I45" s="19"/>
      <x:c r="J45" s="19"/>
      <x:c r="K45" s="19"/>
      <x:c r="L45" s="19"/>
    </x:row>
    <x:row r="46" ht="29" customHeight="1">
      <x:c r="A46" s="19" t="str">
        <x:v>PSU planning result</x:v>
      </x:c>
      <x:c r="B46" s="19"/>
      <x:c r="C46" s="19"/>
      <x:c r="D46" s="19"/>
      <x:c r="E46" s="19"/>
      <x:c r="F46" s="19"/>
      <x:c r="G46" s="19" t="str">
        <x:f>IF(G56&gt;0,"HOLD - invalid planning inputs",IF(G44&gt;G31*G35,"KNOWN SUBTOTAL EXCEEDS RATED OUTPUT",IF(G44&gt;G31*G35*(1-G34),"KNOWN SUBTOTAL ABOVE PLANNING TARGET",IF(G45&gt;0,"HOLD - load currents and marker supply missing","HOLD - marker supply unresolved; subtotal only"))))</x:f>
        <x:v>HOLD - load currents and marker supply missing</x:v>
      </x:c>
      <x:c r="H46" s="19"/>
      <x:c r="I46" s="19"/>
      <x:c r="J46" s="19"/>
      <x:c r="K46" s="19"/>
      <x:c r="L46" s="19"/>
    </x:row>
    <x:row r="47" ht="29" customHeight="1">
      <x:c r="A47" s="19" t="str">
        <x:v>12 V converter planning result</x:v>
      </x:c>
      <x:c r="B47" s="19"/>
      <x:c r="C47" s="19"/>
      <x:c r="D47" s="19"/>
      <x:c r="E47" s="19"/>
      <x:c r="F47" s="19"/>
      <x:c r="G47" s="19" t="str">
        <x:f>IF(ISNUMBER(G33),IF(G33&lt;=0,"HOLD - invalid buck rating",IF(G41&gt;G33,"EXCEEDS SELECTED BUCK RATING","Within estimate; thermal/startup proof pending")),"HOLD - buck not selected")</x:f>
        <x:v>HOLD - buck not selected</x:v>
      </x:c>
      <x:c r="H47" s="19"/>
      <x:c r="I47" s="19"/>
      <x:c r="J47" s="19"/>
      <x:c r="K47" s="19"/>
      <x:c r="L47" s="19"/>
    </x:row>
    <x:row r="48" ht="29" customHeight="1">
      <x:c r="A48" s="19" t="str">
        <x:v>Seven-lane row peak, motors + row loss (A)</x:v>
      </x:c>
      <x:c r="B48" s="19"/>
      <x:c r="C48" s="19"/>
      <x:c r="D48" s="19"/>
      <x:c r="E48" s="19"/>
      <x:c r="F48" s="19"/>
      <x:c r="G48" s="29" t="n">
        <x:f>7*H5+H6</x:f>
        <x:v>14.05</x:v>
      </x:c>
      <x:c r="H48" s="19"/>
      <x:c r="I48" s="19"/>
      <x:c r="J48" s="19"/>
      <x:c r="K48" s="19"/>
      <x:c r="L48" s="19"/>
    </x:row>
    <x:row r="49" ht="29" customHeight="1">
      <x:c r="A49" s="19" t="str">
        <x:v>Candidate row fuse (A)</x:v>
      </x:c>
      <x:c r="B49" s="19"/>
      <x:c r="C49" s="19"/>
      <x:c r="D49" s="19"/>
      <x:c r="E49" s="19"/>
      <x:c r="F49" s="19"/>
      <x:c r="G49" s="29" t="n">
        <x:v>5</x:v>
      </x:c>
      <x:c r="H49" s="19"/>
      <x:c r="I49" s="19"/>
      <x:c r="J49" s="19"/>
      <x:c r="K49" s="19"/>
      <x:c r="L49" s="19"/>
    </x:row>
    <x:row r="50" ht="29" customHeight="1">
      <x:c r="A50" s="19" t="str">
        <x:v>Row stress / candidate fuse</x:v>
      </x:c>
      <x:c r="B50" s="19"/>
      <x:c r="C50" s="19"/>
      <x:c r="D50" s="19"/>
      <x:c r="E50" s="19"/>
      <x:c r="F50" s="19"/>
      <x:c r="G50" s="29" t="n">
        <x:f>IF(G49&gt;0,G48/G49,"INVALID INPUT")</x:f>
        <x:v>2.81</x:v>
      </x:c>
      <x:c r="H50" s="19"/>
      <x:c r="I50" s="19"/>
      <x:c r="J50" s="19"/>
      <x:c r="K50" s="19"/>
      <x:c r="L50" s="19"/>
    </x:row>
    <x:row r="51" ht="29" customHeight="1">
      <x:c r="A51" s="19" t="str">
        <x:v>Seven-lane row-jog result</x:v>
      </x:c>
      <x:c r="B51" s="19"/>
      <x:c r="C51" s="19"/>
      <x:c r="D51" s="19"/>
      <x:c r="E51" s="19"/>
      <x:c r="F51" s="19"/>
      <x:c r="G51" s="19" t="str">
        <x:f>IF(G48&gt;G49,"NOT SUPPORTED by candidate row fuse","Still needs inrush/thermal validation")</x:f>
        <x:v>NOT SUPPORTED by candidate row fuse</x:v>
      </x:c>
      <x:c r="H51" s="19"/>
      <x:c r="I51" s="19"/>
      <x:c r="J51" s="19"/>
      <x:c r="K51" s="19"/>
      <x:c r="L51" s="19"/>
    </x:row>
    <x:row r="53" ht="29" customHeight="1">
      <x:c r="A53" s="19" t="str">
        <x:v>Unbudgeted marker input</x:v>
      </x:c>
      <x:c r="B53" s="19"/>
      <x:c r="C53" s="19"/>
      <x:c r="D53" s="19"/>
      <x:c r="E53" s="19"/>
      <x:c r="F53" s="19"/>
      <x:c r="G53" s="19" t="str">
        <x:v>Marker supply unresolved. NFC reader is flagged in row 22; select rail and current before including its power.</x:v>
      </x:c>
      <x:c r="H53" s="19"/>
      <x:c r="I53" s="19"/>
      <x:c r="J53" s="19"/>
      <x:c r="K53" s="19"/>
      <x:c r="L53" s="19"/>
    </x:row>
    <x:row r="54" ht="29" customHeight="1">
      <x:c r="A54" s="19" t="str">
        <x:v>Approval state</x:v>
      </x:c>
      <x:c r="B54" s="19"/>
      <x:c r="C54" s="19"/>
      <x:c r="D54" s="19"/>
      <x:c r="E54" s="19"/>
      <x:c r="F54" s="19"/>
      <x:c r="G54" s="19" t="str">
        <x:v>HOLD: estimated currents, incomplete inputs and engineering tests remain open.</x:v>
      </x:c>
      <x:c r="H54" s="19"/>
      <x:c r="I54" s="19"/>
      <x:c r="J54" s="19"/>
      <x:c r="K54" s="19"/>
      <x:c r="L54" s="19"/>
    </x:row>
    <x:row r="56" ht="29" customHeight="1">
      <x:c r="A56" s="31" t="str">
        <x:v>Invalid planning-input count</x:v>
      </x:c>
      <x:c r="B56" s="31"/>
      <x:c r="C56" s="31"/>
      <x:c r="D56" s="31"/>
      <x:c r="E56" s="31"/>
      <x:c r="F56" s="31"/>
      <x:c r="G56" s="31" t="n">
        <x:f>SUM(IF(OR(D5&lt;0,E5&lt;0,F5&lt;0,E5&gt;D5,F5&gt;D5,G5&lt;0,H5&lt;0),1,0),IF(OR(D6&lt;0,E6&lt;0,F6&lt;0,E6&gt;D6,F6&gt;D6,G6&lt;0,H6&lt;0),1,0),IF(OR(D7&lt;0,E7&lt;0,F7&lt;0,E7&gt;D7,F7&gt;D7,G7&lt;0,H7&lt;0),1,0),IF(OR(D8&lt;0,E8&lt;0,F8&lt;0,E8&gt;D8,F8&gt;D8,G8&lt;0,H8&lt;0),1,0),IF(OR(D9&lt;0,E9&lt;0,F9&lt;0,E9&gt;D9,F9&gt;D9,G9&lt;0,H9&lt;0),1,0),IF(OR(D10&lt;0,E10&lt;0,F10&lt;0,E10&gt;D10,F10&gt;D10,G10&lt;0,H10&lt;0),1,0),IF(OR(D11&lt;0,E11&lt;0,F11&lt;0,E11&gt;D11,F11&gt;D11,G11&lt;0,H11&lt;0),1,0),IF(OR(D12&lt;0,E12&lt;0,F12&lt;0,E12&gt;D12,F12&gt;D12,G12&lt;0,H12&lt;0),1,0),IF(OR(D13&lt;0,E13&lt;0,F13&lt;0,E13&gt;D13,F13&gt;D13,G13&lt;0,H13&lt;0),1,0),IF(OR(D14&lt;0,E14&lt;0,F14&lt;0,E14&gt;D14,F14&gt;D14,G14&lt;0,H14&lt;0),1,0),IF(OR(D15&lt;0,E15&lt;0,F15&lt;0,E15&gt;D15,F15&gt;D15,G15&lt;0,H15&lt;0),1,0),IF(OR(D16&lt;0,E16&lt;0,F16&lt;0,E16&gt;D16,F16&gt;D16,G16&lt;0,H16&lt;0),1,0),IF(OR(D17&lt;0,E17&lt;0,F17&lt;0,E17&gt;D17,F17&gt;D17,G17&lt;0,H17&lt;0),1,0),IF(OR(D18&lt;0,E18&lt;0,F18&lt;0,E18&gt;D18,F18&gt;D18,G18&lt;0,H18&lt;0),1,0),IF(OR(D19&lt;0,E19&lt;0,F19&lt;0,E19&gt;D19,F19&gt;D19,G19&lt;0,H19&lt;0),1,0),IF(OR(D20&lt;0,E20&lt;0,F20&lt;0,E20&gt;D20,F20&gt;D20,G20&lt;0,H20&lt;0),1,0),IF(OR(D21&lt;0,E21&lt;0,F21&lt;0,E21&gt;D21,F21&gt;D21,G21&lt;0,H21&lt;0),1,0),IF(OR(D22&lt;0,E22&lt;0,F22&lt;0,E22&gt;D22,F22&gt;D22,G22&lt;0,H22&lt;0),1,0),IF(OR(G29&lt;=0,G30&lt;=0,G32&lt;=0,G32&gt;1,G34&lt;0,G34&gt;=1,G35&lt;=0,G35&gt;1,G49&lt;=0),1,0))</x:f>
        <x:v>0</x:v>
      </x:c>
      <x:c r="H56" s="31"/>
      <x:c r="I56" s="31"/>
      <x:c r="J56" s="31"/>
      <x:c r="K56" s="31"/>
      <x:c r="L56" s="31"/>
    </x:row>
  </x:sheetData>
  <x:mergeCells>
    <x:mergeCell ref="A1:L1"/>
    <x:mergeCell ref="A2:L2"/>
    <x:mergeCell ref="A25:F25"/>
    <x:mergeCell ref="G25:L25"/>
    <x:mergeCell ref="A26:F26"/>
    <x:mergeCell ref="G26:L26"/>
    <x:mergeCell ref="A29:F29"/>
    <x:mergeCell ref="G29:L29"/>
    <x:mergeCell ref="A30:F30"/>
    <x:mergeCell ref="G30:L30"/>
    <x:mergeCell ref="A31:F31"/>
    <x:mergeCell ref="G31:L31"/>
    <x:mergeCell ref="A32:F32"/>
    <x:mergeCell ref="G32:L32"/>
    <x:mergeCell ref="A33:F33"/>
    <x:mergeCell ref="G33:L33"/>
    <x:mergeCell ref="A34:F34"/>
    <x:mergeCell ref="G34:L34"/>
    <x:mergeCell ref="A35:F35"/>
    <x:mergeCell ref="G35:L35"/>
    <x:mergeCell ref="A37:F37"/>
    <x:mergeCell ref="G37:L37"/>
    <x:mergeCell ref="A38:F38"/>
    <x:mergeCell ref="G38:L38"/>
    <x:mergeCell ref="A39:F39"/>
    <x:mergeCell ref="G39:L39"/>
    <x:mergeCell ref="A40:F40"/>
    <x:mergeCell ref="G40:L40"/>
    <x:mergeCell ref="A41:F41"/>
    <x:mergeCell ref="G41:L41"/>
    <x:mergeCell ref="A42:F42"/>
    <x:mergeCell ref="G42:L42"/>
    <x:mergeCell ref="A43:F43"/>
    <x:mergeCell ref="G43:L43"/>
    <x:mergeCell ref="A44:F44"/>
    <x:mergeCell ref="G44:L44"/>
    <x:mergeCell ref="A45:F45"/>
    <x:mergeCell ref="G45:L45"/>
    <x:mergeCell ref="A46:F46"/>
    <x:mergeCell ref="G46:L46"/>
    <x:mergeCell ref="A47:F47"/>
    <x:mergeCell ref="G47:L47"/>
    <x:mergeCell ref="A48:F48"/>
    <x:mergeCell ref="G48:L48"/>
    <x:mergeCell ref="A49:F49"/>
    <x:mergeCell ref="G49:L49"/>
    <x:mergeCell ref="A50:F50"/>
    <x:mergeCell ref="G50:L50"/>
    <x:mergeCell ref="A51:F51"/>
    <x:mergeCell ref="G51:L51"/>
    <x:mergeCell ref="A53:F53"/>
    <x:mergeCell ref="G53:L53"/>
    <x:mergeCell ref="A54:F54"/>
    <x:mergeCell ref="G54:L54"/>
    <x:mergeCell ref="A56:F56"/>
    <x:mergeCell ref="G56:L5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32" hidden="0" customWidth="1"/>
    <x:col min="4" max="4" width="30" hidden="0" customWidth="1"/>
    <x:col min="5" max="5" width="110" hidden="0" customWidth="1"/>
    <x:col min="6" max="6" width="61" hidden="0" customWidth="1"/>
  </x:cols>
  <x:sheetData>
    <x:row r="1" ht="32" customHeight="1">
      <x:c r="A1" s="5" t="str">
        <x:v>Engineering evidence and release gates</x:v>
      </x:c>
      <x:c r="B1" s="5"/>
      <x:c r="C1" s="5"/>
      <x:c r="D1" s="5"/>
      <x:c r="E1" s="5"/>
      <x:c r="F1" s="5"/>
    </x:row>
    <x:row r="2" ht="42" customHeight="1">
      <x:c r="A2" s="3" t="str">
        <x:v>Do not close an item based only on document consistency. Attach supplier evidence, calculations or physical test results before releasing hardware.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6" customHeight="1">
      <x:c r="A4" s="8" t="str">
        <x:v>ID</x:v>
      </x:c>
      <x:c r="B4" s="8" t="str">
        <x:v>Priority</x:v>
      </x:c>
      <x:c r="C4" s="8" t="str">
        <x:v>Item</x:v>
      </x:c>
      <x:c r="D4" s="8" t="str">
        <x:v>Owner role</x:v>
      </x:c>
      <x:c r="E4" s="8" t="str">
        <x:v>Required evidence / decision</x:v>
      </x:c>
      <x:c r="F4" s="8" t="str">
        <x:v>Affected design</x:v>
      </x:c>
    </x:row>
    <x:row r="5" ht="44" customHeight="1">
      <x:c r="A5" s="9" t="str">
        <x:v>O01</x:v>
      </x:c>
      <x:c r="B5" s="9" t="str">
        <x:v>BLOCKER</x:v>
      </x:c>
      <x:c r="C5" s="9" t="str">
        <x:v>Gantry drive and brake</x:v>
      </x:c>
      <x:c r="D5" s="9" t="str">
        <x:v>Electrical / supplier</x:v>
      </x:c>
      <x:c r="E5" s="9" t="str">
        <x:v>Exact Emtech driver manual, 24 V operation/performance, input current, signal levels, brake voltage/current and packaging.</x:v>
      </x:c>
      <x:c r="F5" s="9" t="str">
        <x:v>W11/W12/W29/W30; F15/F16; PSU capacity</x:v>
      </x:c>
    </x:row>
    <x:row r="6" ht="44" customHeight="1">
      <x:c r="A6" s="10" t="str">
        <x:v>O02</x:v>
      </x:c>
      <x:c r="B6" s="10" t="str">
        <x:v>BLOCKER</x:v>
      </x:c>
      <x:c r="C6" s="10" t="str">
        <x:v>12 V converter</x:v>
      </x:c>
      <x:c r="D6" s="10" t="str">
        <x:v>Electrical</x:v>
      </x:c>
      <x:c r="E6" s="10" t="str">
        <x:v>Select on-board converter, efficiency, continuous/peak rating, startup and thermal design for every derived load.</x:v>
      </x:c>
      <x:c r="F6" s="10" t="str">
        <x:v>SYSCTRL onboard SMPS; F12/F14/F18; W03/W05/W25/W35</x:v>
      </x:c>
    </x:row>
    <x:row r="7" ht="44" customHeight="1">
      <x:c r="A7" s="9" t="str">
        <x:v>O03</x:v>
      </x:c>
      <x:c r="B7" s="9" t="str">
        <x:v>BLOCKER</x:v>
      </x:c>
      <x:c r="C7" s="9" t="str">
        <x:v>Conveyor interface</x:v>
      </x:c>
      <x:c r="D7" s="9" t="str">
        <x:v>Electrical / supplier</x:v>
      </x:c>
      <x:c r="E7" s="9" t="str">
        <x:v>Measure loaded/stall current; confirm signal reference, levels and whether supply reversal is allowed. Three-pin feedback plus H-bridge is not a verified interface.</x:v>
      </x:c>
      <x:c r="F7" s="9" t="str">
        <x:v>70 lanes; W27; H-bridge/connector choice</x:v>
      </x:c>
    </x:row>
    <x:row r="8" ht="44" customHeight="1">
      <x:c r="A8" s="10" t="str">
        <x:v>O04</x:v>
      </x:c>
      <x:c r="B8" s="10" t="str">
        <x:v>BLOCKER</x:v>
      </x:c>
      <x:c r="C8" s="10" t="str">
        <x:v>Concurrent motion budget</x:v>
      </x:c>
      <x:c r="D8" s="10" t="str">
        <x:v>Firmware / electrical</x:v>
      </x:c>
      <x:c r="E8" s="10" t="str">
        <x:v>Agree enforced global/per-row limits. Planning case uses one lane, but 7 x 2 A = 14 A exceeds candidate 5 A row fuse.</x:v>
      </x:c>
      <x:c r="F8" s="10" t="str">
        <x:v>Power scenarios; F1–F10; startup and fault handling</x:v>
      </x:c>
    </x:row>
    <x:row r="9" ht="44" customHeight="1">
      <x:c r="A9" s="9" t="str">
        <x:v>O05</x:v>
      </x:c>
      <x:c r="B9" s="9" t="str">
        <x:v>BLOCKER</x:v>
      </x:c>
      <x:c r="C9" s="9" t="str">
        <x:v>Motor protection</x:v>
      </x:c>
      <x:c r="D9" s="9" t="str">
        <x:v>Electrical</x:v>
      </x:c>
      <x:c r="E9" s="9" t="str">
        <x:v>Select H-bridge, current limit, TVS and energy path. SMBJ33CA 53.3 V clamp cannot establish protection below DRV8876 40 V absolute max.</x:v>
      </x:c>
      <x:c r="F9" s="9" t="str">
        <x:v>LANECTRL; regenerative/transient tests</x:v>
      </x:c>
    </x:row>
    <x:row r="10" ht="44" customHeight="1">
      <x:c r="A10" s="10" t="str">
        <x:v>O06</x:v>
      </x:c>
      <x:c r="B10" s="10" t="str">
        <x:v>BLOCKER</x:v>
      </x:c>
      <x:c r="C10" s="10" t="str">
        <x:v>Power harness and protection</x:v>
      </x:c>
      <x:c r="D10" s="10" t="str">
        <x:v>Electrical / harness</x:v>
      </x:c>
      <x:c r="E10" s="10" t="str">
        <x:v>Size SYSCTRL system input, PCB power paths, branch protection and output connectors; establish technology, physical placement and purchase counts. Check gauge, drop, inrush and current sharing.</x:v>
      </x:c>
      <x:c r="F10" s="10" t="str">
        <x:v>W03/W05/W24/W25/W26/W29/W30/W34/W35; F1-F18</x:v>
      </x:c>
    </x:row>
    <x:row r="11" ht="44" customHeight="1">
      <x:c r="A11" s="9" t="str">
        <x:v>O07</x:v>
      </x:c>
      <x:c r="B11" s="9" t="str">
        <x:v>OPEN</x:v>
      </x:c>
      <x:c r="C11" s="9" t="str">
        <x:v>MAINCTRL variant</x:v>
      </x:c>
      <x:c r="D11" s="9" t="str">
        <x:v>Purchasing / firmware</x:v>
      </x:c>
      <x:c r="E11" s="9" t="str">
        <x:v>Confirm exact MYIR SKU, BSP, CAN/RS485 connector pinout and power plug; adapter 2 A is supply provisioning, not measured board consumption.</x:v>
      </x:c>
      <x:c r="F11" s="9" t="str">
        <x:v>MAINCTRL; W05/W08/W33</x:v>
      </x:c>
    </x:row>
    <x:row r="12" ht="44" customHeight="1">
      <x:c r="A12" s="10" t="str">
        <x:v>O08</x:v>
      </x:c>
      <x:c r="B12" s="10" t="str">
        <x:v>OPEN</x:v>
      </x:c>
      <x:c r="C12" s="10" t="str">
        <x:v>IOCTRL operation</x:v>
      </x:c>
      <x:c r="D12" s="10" t="str">
        <x:v>Firmware / electrical</x:v>
      </x:c>
      <x:c r="E12" s="10" t="str">
        <x:v>Validate chosen firmware Modbus RTU registers, relay failsafe state, DI input common/polarity and measured 24 V module current.</x:v>
      </x:c>
      <x:c r="F12" s="10" t="str">
        <x:v>IOCTRL; W23/W33/W34/W35</x:v>
      </x:c>
    </x:row>
    <x:row r="13" ht="44" customHeight="1">
      <x:c r="A13" s="9" t="str">
        <x:v>O09</x:v>
      </x:c>
      <x:c r="B13" s="9" t="str">
        <x:v>OPEN</x:v>
      </x:c>
      <x:c r="C13" s="9" t="str">
        <x:v>Door latches and sensors</x:v>
      </x:c>
      <x:c r="D13" s="9" t="str">
        <x:v>Mechanical / electrical</x:v>
      </x:c>
      <x:c r="E13" s="9" t="str">
        <x:v>Select 4 latch and 5 sensor MPNs, duty/fail behavior and suppression; confirm all four latch locations.</x:v>
      </x:c>
      <x:c r="F13" s="9" t="str">
        <x:v>K1–K4; W20–W23; F18</x:v>
      </x:c>
    </x:row>
    <x:row r="14" ht="44" customHeight="1">
      <x:c r="A14" s="10" t="str">
        <x:v>O10</x:v>
      </x:c>
      <x:c r="B14" s="10" t="str">
        <x:v>OPEN</x:v>
      </x:c>
      <x:c r="C14" s="10" t="str">
        <x:v>Servo and labeling motors</x:v>
      </x:c>
      <x:c r="D14" s="10" t="str">
        <x:v>Mechanical / electrical</x:v>
      </x:c>
      <x:c r="E14" s="10" t="str">
        <x:v>Confirm DS3218 variant, safe supply/stall current; identify motors referenced 6627T113/6627T357, gearbox and jaw sensor.</x:v>
      </x:c>
      <x:c r="F14" s="10" t="str">
        <x:v>W13/W16–W18; SYSCTRL drivers</x:v>
      </x:c>
    </x:row>
    <x:row r="15" ht="44" customHeight="1">
      <x:c r="A15" s="9" t="str">
        <x:v>O11</x:v>
      </x:c>
      <x:c r="B15" s="9" t="str">
        <x:v>OPEN</x:v>
      </x:c>
      <x:c r="C15" s="9" t="str">
        <x:v>Label marker</x:v>
      </x:c>
      <x:c r="D15" s="9" t="str">
        <x:v>Customer / mechanical</x:v>
      </x:c>
      <x:c r="E15" s="9" t="str">
        <x:v>Choose printer/laser product, protocol, input power, mounting and operational interlocks. No extra PSU has been approved.</x:v>
      </x:c>
      <x:c r="F15" s="9" t="str">
        <x:v>W19/W39; cabinet power budget</x:v>
      </x:c>
    </x:row>
    <x:row r="16" ht="44" customHeight="1">
      <x:c r="A16" s="10" t="str">
        <x:v>O12</x:v>
      </x:c>
      <x:c r="B16" s="10" t="str">
        <x:v>OPEN</x:v>
      </x:c>
      <x:c r="C16" s="10" t="str">
        <x:v>Mechanical integration</x:v>
      </x:c>
      <x:c r="D16" s="10" t="str">
        <x:v>Mechanical / PCB</x:v>
      </x:c>
      <x:c r="E16" s="10" t="str">
        <x:v>Inspect bracket DWG, mounting holes, button/LED pitch and service clearances; verify COTS model variants and LANECTRL STEP origin.</x:v>
      </x:c>
      <x:c r="F16" s="10" t="str">
        <x:v>HW folders; board STEP models; harness lengths</x:v>
      </x:c>
    </x:row>
    <x:row r="17" ht="44" customHeight="1">
      <x:c r="A17" s="9" t="str">
        <x:v>O13</x:v>
      </x:c>
      <x:c r="B17" s="9" t="str">
        <x:v>OPEN</x:v>
      </x:c>
      <x:c r="C17" s="9" t="str">
        <x:v>Site and optional functions</x:v>
      </x:c>
      <x:c r="D17" s="9" t="str">
        <x:v>Customer / software</x:v>
      </x:c>
      <x:c r="E17" s="9" t="str">
        <x:v>Decide DHCP/VLAN/firewall, camera/OCR, lighting zones, payment, QR/BLE and optional radio hardware. NFC antenna is selected; reader integration is tracked separately under O16.</x:v>
      </x:c>
      <x:c r="F17" s="9" t="str">
        <x:v>Options remain excluded until approved</x:v>
      </x:c>
    </x:row>
    <x:row r="18" ht="44" customHeight="1">
      <x:c r="A18" s="10" t="str">
        <x:v>O14</x:v>
      </x:c>
      <x:c r="B18" s="10" t="str">
        <x:v>BLOCKER</x:v>
      </x:c>
      <x:c r="C18" s="10" t="str">
        <x:v>System release validation</x:v>
      </x:c>
      <x:c r="D18" s="10" t="str">
        <x:v>Integrator / electrical</x:v>
      </x:c>
      <x:c r="E18" s="10" t="str">
        <x:v>Document protective-earth bonding, power isolation, fault behavior and motion/access controls; test hardware and firmware before manufacturing release.</x:v>
      </x:c>
      <x:c r="F18" s="10" t="str">
        <x:v>User no-E-stop request is not an engineering validation</x:v>
      </x:c>
    </x:row>
    <x:row r="19" ht="44" customHeight="1">
      <x:c r="A19" s="9" t="str">
        <x:v>O15</x:v>
      </x:c>
      <x:c r="B19" s="9" t="str">
        <x:v>OPEN</x:v>
      </x:c>
      <x:c r="C19" s="9" t="str">
        <x:v>Harness completion</x:v>
      </x:c>
      <x:c r="D19" s="9" t="str">
        <x:v>Harness / mechanical</x:v>
      </x:c>
      <x:c r="E19" s="9" t="str">
        <x:v>Confirm direct sensor lead lengths, chain fill, bend radius, mates/crimps and complete PE bonding list. No junction boxes. Pending lengths are not zero requirements.</x:v>
      </x:c>
      <x:c r="F19" s="9" t="str">
        <x:v>W01–W39; harness manufacturing drawings</x:v>
      </x:c>
    </x:row>
    <x:row r="20" ht="75" customHeight="1">
      <x:c r="A20" s="32" t="str">
        <x:v>O16</x:v>
      </x:c>
      <x:c r="B20" s="32" t="str">
        <x:v>OPEN</x:v>
      </x:c>
      <x:c r="C20" s="32" t="str">
        <x:v>NFC reader and antenna integration</x:v>
      </x:c>
      <x:c r="D20" s="32" t="str">
        <x:v>Electrical / mechanical / software</x:v>
      </x:c>
      <x:c r="E20" s="32" t="str">
        <x:v>Antenna selected: Molex 1462362151. Select reader/front end, matching circuit, host interface and supply; verify mounting and actual termination. Budget reader power and any new host harness before release.</x:v>
      </x:c>
      <x:c r="F20" s="32" t="str">
        <x:v>ANT-NFC; NFC-RF; MAINCTRL interface and power budget TBC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115" hidden="0" customWidth="1"/>
    <x:col min="4" max="4" width="95" hidden="0" customWidth="1"/>
  </x:cols>
  <x:sheetData>
    <x:row r="1" ht="32" customHeight="1">
      <x:c r="A1" s="5" t="str">
        <x:v>Source register</x:v>
      </x:c>
      <x:c r="B1" s="5"/>
      <x:c r="C1" s="5"/>
      <x:c r="D1" s="5"/>
    </x:row>
    <x:row r="2" ht="42" customHeight="1">
      <x:c r="A2" s="3" t="str">
        <x:v>Supplier references checked 2026-09-24. Project choices are separate from tested specifications. Local source documents remain available alongside this workbook.</x:v>
      </x:c>
      <x:c r="B2" s="3"/>
      <x:c r="C2" s="3"/>
      <x:c r="D2" s="3"/>
    </x:row>
    <x:row r="3">
      <x:c r="A3" s="3"/>
      <x:c r="B3" s="3"/>
      <x:c r="C3" s="3"/>
      <x:c r="D3" s="3"/>
    </x:row>
    <x:row r="4" ht="36" customHeight="1">
      <x:c r="A4" s="8" t="str">
        <x:v>ID</x:v>
      </x:c>
      <x:c r="B4" s="8" t="str">
        <x:v>Source</x:v>
      </x:c>
      <x:c r="C4" s="8" t="str">
        <x:v>URL / local path</x:v>
      </x:c>
      <x:c r="D4" s="8" t="str">
        <x:v>Evidence used</x:v>
      </x:c>
    </x:row>
    <x:row r="5" ht="44" customHeight="1">
      <x:c r="A5" s="9" t="str">
        <x:v>S01</x:v>
      </x:c>
      <x:c r="B5" s="9" t="str">
        <x:v>Project decisions</x:v>
      </x:c>
      <x:c r="C5" s="9" t="str">
        <x:v>brain.md and user decisions through 2026-09-24</x:v>
      </x:c>
      <x:c r="D5" s="9" t="str">
        <x:v>Latest user correction: power distribution/connector area is part of SYSCTRL. One onboard 24 V-to-12 V SMPS; no separate distribution assembly or junction boxes.</x:v>
      </x:c>
    </x:row>
    <x:row r="6" ht="44" customHeight="1">
      <x:c r="A6" s="10" t="str">
        <x:v>S02</x:v>
      </x:c>
      <x:c r="B6" s="10" t="str">
        <x:v>Mean Well RSP-500</x:v>
      </x:c>
      <x:c r="C6" s="10" t="str">
        <x:v>https://www.meanwell.com/Upload/PDF/RSP-500/RSP-500-SPEC.PDF</x:v>
      </x:c>
      <x:c r="D6" s="10" t="str">
        <x:v>RSP-500-24: 24 V, 21 A, 504 W; derating, inrush and installation requirements apply.</x:v>
      </x:c>
    </x:row>
    <x:row r="7" ht="44" customHeight="1">
      <x:c r="A7" s="9" t="str">
        <x:v>S03</x:v>
      </x:c>
      <x:c r="B7" s="9" t="str">
        <x:v>MYIR MYD-YF13X</x:v>
      </x:c>
      <x:c r="C7" s="9" t="str">
        <x:v>https://www.myirtech.com/list.asp?id=727</x:v>
      </x:c>
      <x:c r="D7" s="9" t="str">
        <x:v>12 V/2 A adapter; CAN and RS485. Exact populated order code, pinout and BSP must match purchased hardware.</x:v>
      </x:c>
    </x:row>
    <x:row r="8" ht="44" customHeight="1">
      <x:c r="A8" s="10" t="str">
        <x:v>S04</x:v>
      </x:c>
      <x:c r="B8" s="10" t="str">
        <x:v>Waveshare IOCTRL</x:v>
      </x:c>
      <x:c r="C8" s="10" t="str">
        <x:v>https://www.waveshare.com/wiki/ESP32-S3-ETH-8DI-8RO</x:v>
      </x:c>
      <x:c r="D8" s="10" t="str">
        <x:v>7–36 V module input; 8 relay outputs and 8 digital inputs; RS485. Firmware protocol needs verification.</x:v>
      </x:c>
    </x:row>
    <x:row r="9" ht="44" customHeight="1">
      <x:c r="A9" s="9" t="str">
        <x:v>S05</x:v>
      </x:c>
      <x:c r="B9" s="9" t="str">
        <x:v>McMaster 1422N13</x:v>
      </x:c>
      <x:c r="C9" s="9" t="str">
        <x:v>https://www.mcmaster.com/products/data-transmission-couplers/</x:v>
      </x:c>
      <x:c r="D9" s="9" t="str">
        <x:v>User-selected shielded Cat5e RJ45 F/F panel adapter; black plastic; 0.95 in cutout; mounting hardware included.</x:v>
      </x:c>
    </x:row>
    <x:row r="10" ht="44" customHeight="1">
      <x:c r="A10" s="10" t="str">
        <x:v>S06</x:v>
      </x:c>
      <x:c r="B10" s="10" t="str">
        <x:v>Conveyor supplier sheet</x:v>
      </x:c>
      <x:c r="C10" s="10" t="str">
        <x:v>Conveyor belt(CB002-24V-573mm).pdf</x:v>
      </x:c>
      <x:c r="D10" s="10" t="str">
        <x:v>24 V; no-load current &lt;=0.2 A; 5.8 cm/s; &lt;=6 kg; 3 terminals (+, -, signal). No stall/loaded-current or signal specification.</x:v>
      </x:c>
    </x:row>
    <x:row r="11" ht="44" customHeight="1">
      <x:c r="A11" s="9" t="str">
        <x:v>S07</x:v>
      </x:c>
      <x:c r="B11" s="9" t="str">
        <x:v>Mechanical BOM</x:v>
      </x:c>
      <x:c r="C11" s="9" t="str">
        <x:v>VENDING MACHINE GANTRY BILL OF MATERIALS - OFF THE SHELF COMPONENTS.xlsx</x:v>
      </x:c>
      <x:c r="D11" s="9" t="str">
        <x:v>Emtech 57BYG250-76 with brake and driver, X gearbox, gantry sensors, DS3218 and mechanical parts.</x:v>
      </x:c>
    </x:row>
    <x:row r="12" ht="44" customHeight="1">
      <x:c r="A12" s="10" t="str">
        <x:v>S08</x:v>
      </x:c>
      <x:c r="B12" s="10" t="str">
        <x:v>LANECTRL bracket</x:v>
      </x:c>
      <x:c r="C12" s="10" t="str">
        <x:v>../MEC/01_CAD_MODELS/LANE DRAWING SPACE FOR UMIT.DWG</x:v>
      </x:c>
      <x:c r="D12" s="10" t="str">
        <x:v>User-supplied reference; bracket is made to this drawing. PCB fit has not been checked.</x:v>
      </x:c>
    </x:row>
    <x:row r="13" ht="44" customHeight="1">
      <x:c r="A13" s="9" t="str">
        <x:v>S09</x:v>
      </x:c>
      <x:c r="B13" s="9" t="str">
        <x:v>TI DRV8876</x:v>
      </x:c>
      <x:c r="C13" s="9" t="str">
        <x:v>https://www.ti.com/product/DRV8876</x:v>
      </x:c>
      <x:c r="D13" s="9" t="str">
        <x:v>Candidate only: 37 V operating maximum, 40 V absolute maximum, 3.5 A peak. Continuous current is thermal-design dependent.</x:v>
      </x:c>
    </x:row>
    <x:row r="14" ht="44" customHeight="1">
      <x:c r="A14" s="10" t="str">
        <x:v>S10</x:v>
      </x:c>
      <x:c r="B14" s="10" t="str">
        <x:v>Littelfuse SMBJ33CA</x:v>
      </x:c>
      <x:c r="C14" s="10" t="str">
        <x:v>https://www.littelfuse.com/ja-jp/assetdocs/doorbell-chime-bypass-video-doorbell-application?assetguid=645548e9-2cae-4b3f-a89c-06115bfdc64c</x:v>
      </x:c>
      <x:c r="D14" s="10" t="str">
        <x:v>53.3 V clamp at specified pulse current; not established protection for a 40 V absolute-maximum driver.</x:v>
      </x:c>
    </x:row>
    <x:row r="15" ht="44" customHeight="1">
      <x:c r="A15" s="9" t="str">
        <x:v>S11</x:v>
      </x:c>
      <x:c r="B15" s="9" t="str">
        <x:v>Phoenix 3046032</x:v>
      </x:c>
      <x:c r="C15" s="9" t="str">
        <x:v>https://www.phoenixcontact.com/en-nl/products/fuse-modular-terminal-block-ut-4-hesi-5x20-3046032</x:v>
      </x:c>
      <x:c r="D15" s="9" t="str">
        <x:v>UT 4-HESI (5X20) nominal current 6.3 A. Fuse-holder derating, fuse dissipation and DC interruption must be checked.</x:v>
      </x:c>
    </x:row>
    <x:row r="16" ht="44" customHeight="1">
      <x:c r="A16" s="10" t="str">
        <x:v>S12</x:v>
      </x:c>
      <x:c r="B16" s="10" t="str">
        <x:v>Molex 436500300</x:v>
      </x:c>
      <x:c r="C16" s="10" t="str">
        <x:v>https://www.molex.com/en-us/products/part-detail/436500300</x:v>
      </x:c>
      <x:c r="D16" s="10" t="str">
        <x:v>Micro-Fit candidate; finalize housing, terminals, gauge, pin count, derating and mating combination.</x:v>
      </x:c>
    </x:row>
    <x:row r="17" ht="44" customHeight="1">
      <x:c r="A17" s="9" t="str">
        <x:v>S13</x:v>
      </x:c>
      <x:c r="B17" s="9" t="str">
        <x:v>Omron B3F</x:v>
      </x:c>
      <x:c r="C17" s="9" t="str">
        <x:v>https://omronfs.omron.com/en_US/ecb/products/pdf/en-b3f.pdf</x:v>
      </x:c>
      <x:c r="D17" s="9" t="str">
        <x:v>B3F-4055 candidate tactile switch; mechanical compatibility with bracket remains open.</x:v>
      </x:c>
    </x:row>
    <x:row r="18" ht="65" customHeight="1">
      <x:c r="A18" s="32" t="str">
        <x:v>S14</x:v>
      </x:c>
      <x:c r="B18" s="32" t="str">
        <x:v>Molex NFC antenna</x:v>
      </x:c>
      <x:c r="C18" s="32" t="str">
        <x:v>https://www.molex.com/en-us/products/part-detail/1462362151</x:v>
      </x:c>
      <x:c r="D18" s="32" t="str">
        <x:v>1462362151: 13.56 MHz, 2.40 uH; 15 x 15 x 0.27 mm, adhesive, 102 mm cable. Manufacturer specifications; integration pending.</x:v>
      </x:c>
    </x:row>
    <x:row r="19" ht="65" customHeight="1">
      <x:c r="A19" s="32" t="str">
        <x:v>S15</x:v>
      </x:c>
      <x:c r="B19" s="32" t="str">
        <x:v>User-selected distributor listing</x:v>
      </x:c>
      <x:c r="C19" s="32" t="str">
        <x:v>https://www.digikey.com/en/products/detail/molex/1462362151/15204370</x:v>
      </x:c>
      <x:c r="D19" s="32" t="str">
        <x:v>User selected this antenna. Antenna selection does not select the NFC reader or payment functionality.</x:v>
      </x:c>
    </x:row>
  </x:sheetData>
  <x:mergeCells>
    <x:mergeCell ref="A1:D1"/>
    <x:mergeCell ref="A2:D2"/>
  </x:mergeCells>
  <x:pageMargins left="0.7" right="0.7" top="0.75" bottom="0.75" header="0.3" footer="0.3"/>
</x:worksheet>
</file>