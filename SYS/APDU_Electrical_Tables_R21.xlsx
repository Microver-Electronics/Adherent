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s\Github\Adherent\SYS\"/>
    </mc:Choice>
  </mc:AlternateContent>
  <xr:revisionPtr revIDLastSave="0" documentId="13_ncr:1_{0806349B-88EC-4CE8-9B0B-EBAF1E44C584}" xr6:coauthVersionLast="47" xr6:coauthVersionMax="47" xr10:uidLastSave="{00000000-0000-0000-0000-000000000000}"/>
  <bookViews>
    <workbookView xWindow="8175" yWindow="2130" windowWidth="38700" windowHeight="18690" xr2:uid="{00000000-000D-0000-FFFF-FFFF00000000}"/>
  </bookViews>
  <sheets>
    <sheet name="README" sheetId="1" r:id="rId1"/>
    <sheet name="Connectors" sheetId="2" r:id="rId2"/>
    <sheet name="Cables" sheetId="3" r:id="rId3"/>
    <sheet name="PCBs" sheetId="4" r:id="rId4"/>
    <sheet name="Power" sheetId="5" r:id="rId5"/>
    <sheet name="Fus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5" l="1"/>
  <c r="I26" i="5" s="1"/>
  <c r="E26" i="5"/>
  <c r="H26" i="5" s="1"/>
  <c r="F24" i="5"/>
  <c r="I24" i="5" s="1"/>
  <c r="E24" i="5"/>
  <c r="H24" i="5" s="1"/>
  <c r="K20" i="5"/>
  <c r="J20" i="5"/>
  <c r="K19" i="5"/>
  <c r="J19" i="5"/>
  <c r="K18" i="5"/>
  <c r="J18" i="5"/>
  <c r="K17" i="5"/>
  <c r="J17" i="5"/>
  <c r="K16" i="5"/>
  <c r="J16" i="5"/>
  <c r="K15" i="5"/>
  <c r="J15" i="5"/>
  <c r="K14" i="5"/>
  <c r="J14" i="5"/>
  <c r="K13" i="5"/>
  <c r="J13" i="5"/>
  <c r="K12" i="5"/>
  <c r="J12" i="5"/>
  <c r="K11" i="5"/>
  <c r="F25" i="5" s="1"/>
  <c r="I25" i="5" s="1"/>
  <c r="J11" i="5"/>
  <c r="E25" i="5" s="1"/>
  <c r="H25" i="5" s="1"/>
  <c r="K10" i="5"/>
  <c r="J10" i="5"/>
  <c r="K9" i="5"/>
  <c r="J9" i="5"/>
  <c r="K8" i="5"/>
  <c r="J8" i="5"/>
  <c r="K7" i="5"/>
  <c r="J7" i="5"/>
  <c r="K6" i="5"/>
  <c r="J6" i="5"/>
  <c r="K5" i="5"/>
  <c r="J5" i="5"/>
  <c r="F39" i="3"/>
  <c r="J38" i="3"/>
  <c r="H38" i="3"/>
  <c r="J37" i="3"/>
  <c r="H37" i="3"/>
  <c r="J36" i="3"/>
  <c r="H36" i="3"/>
  <c r="J35" i="3"/>
  <c r="H35" i="3"/>
  <c r="J34" i="3"/>
  <c r="H34" i="3"/>
  <c r="J33" i="3"/>
  <c r="H33" i="3"/>
  <c r="J32" i="3"/>
  <c r="H32" i="3"/>
  <c r="J31" i="3"/>
  <c r="H31" i="3"/>
  <c r="J30" i="3"/>
  <c r="H30" i="3"/>
  <c r="J29" i="3"/>
  <c r="H29" i="3"/>
  <c r="J28" i="3"/>
  <c r="H28" i="3"/>
  <c r="J27" i="3"/>
  <c r="H27" i="3"/>
  <c r="J26" i="3"/>
  <c r="H26" i="3"/>
  <c r="J25" i="3"/>
  <c r="H25" i="3"/>
  <c r="J24" i="3"/>
  <c r="H24" i="3"/>
  <c r="J23" i="3"/>
  <c r="H23" i="3"/>
  <c r="J22" i="3"/>
  <c r="H22" i="3"/>
  <c r="J21" i="3"/>
  <c r="H21" i="3"/>
  <c r="J20" i="3"/>
  <c r="H20" i="3"/>
  <c r="J19" i="3"/>
  <c r="H19" i="3"/>
  <c r="J18" i="3"/>
  <c r="H18" i="3"/>
  <c r="J17" i="3"/>
  <c r="H17" i="3"/>
  <c r="J16" i="3"/>
  <c r="H16" i="3"/>
  <c r="J15" i="3"/>
  <c r="H15" i="3"/>
  <c r="J14" i="3"/>
  <c r="H14" i="3"/>
  <c r="J13" i="3"/>
  <c r="H13" i="3"/>
  <c r="J12" i="3"/>
  <c r="H12" i="3"/>
  <c r="J11" i="3"/>
  <c r="H11" i="3"/>
  <c r="J10" i="3"/>
  <c r="H10" i="3"/>
  <c r="J9" i="3"/>
  <c r="H9" i="3"/>
  <c r="J8" i="3"/>
  <c r="H8" i="3"/>
  <c r="J7" i="3"/>
  <c r="H7" i="3"/>
  <c r="J6" i="3"/>
  <c r="H6" i="3"/>
  <c r="J5" i="3"/>
  <c r="H5" i="3"/>
  <c r="J39" i="3" l="1"/>
  <c r="H39" i="3"/>
  <c r="D30" i="5"/>
  <c r="D31" i="5"/>
  <c r="D33" i="5" s="1"/>
  <c r="D32" i="5"/>
  <c r="G24" i="5"/>
  <c r="J24" i="5" s="1"/>
  <c r="G25" i="5"/>
  <c r="J25" i="5" s="1"/>
  <c r="G26" i="5"/>
  <c r="J26" i="5" s="1"/>
</calcChain>
</file>

<file path=xl/sharedStrings.xml><?xml version="1.0" encoding="utf-8"?>
<sst xmlns="http://schemas.openxmlformats.org/spreadsheetml/2006/main" count="629" uniqueCount="486">
  <si>
    <t>APDU / AVM electrical tables</t>
  </si>
  <si>
    <t>Adherent360 · Blackocean Technologies · companion to Electrical_System_Level_Wiring_Diagram_R21.drawio · 2026-09-10</t>
  </si>
  <si>
    <t>Sheets</t>
  </si>
  <si>
    <t>Connectors — every board-side connector with candidate MPNs (Molex Micro-Fit 3.0 standard on all PCB I/O).</t>
  </si>
  <si>
    <t>Cables — W01…W32, names WR_ADHERENT_AAA_TO_BBB_R1, cable type, ends, quantity, estimated length. Totals are formulas.</t>
  </si>
  <si>
    <t>PCBs — custom boards HW_ADHERENT_XXX_R1 (SYSCTRL, LANECTRL — lane buttons and LEDs are on the LANECTRL board) with firmware names, plus off-the-shelf modules; MAINCTRL is the COTS MYIR MYD-LT527-SX board; DOORIO (door relays and sensors) is the COTS Waveshare ESP32-S3-ETH-8DI-8RO on RS485.</t>
  </si>
  <si>
    <t>Power — every load per rail (24 V motor, 12 V logic, 48 V drives): fuse, how many units run at once, typical and peak current, rail totals against PSU rating, AC input estimate. Blue cells are estimates to replace with measured values.</t>
  </si>
  <si>
    <t>Fuses — DIN fuse block schedule F1–F16.</t>
  </si>
  <si>
    <t>Conventions</t>
  </si>
  <si>
    <t>Naming: HW_ADHERENT_XXX_RY (PCB), FW_ADHERENT_XXX_RY (firmware), WR_ADHERENT_AAA_TO_BBB_RY (cable).</t>
  </si>
  <si>
    <t>Default cable: 4-conductor 22 AWG red-black-yellow-green, Micro-Fit 3.0 crimp + housing at board ends; hex ferrule + WAGO 221 in junction boxes JB-GANTRY / JB-DOORS. Exceptions are marked in the Cable column.</t>
  </si>
  <si>
    <t>Lengths are routing estimates from the CAD envelope (855 W × 890 D × 1905 H mm, column 1650 mm) plus 20 % service loop; confirm on harness drawings.</t>
  </si>
  <si>
    <t>MPNs are Rev A candidates; confirm at BOM v1. Cells marked TBC wait for supplier data (Emtech drive datasheet, conveyor terminal pitch, conveyor signal type and stall current).</t>
  </si>
  <si>
    <t>Blue cells are inputs you may edit (quantities, lengths); black cells with formulas recalculate.</t>
  </si>
  <si>
    <t>Connector list</t>
  </si>
  <si>
    <t>Board-side and mating connectors · Molex Micro-Fit 3.0 on every PCB input / output · panel parts, DIN terminals and SWD are the exceptions</t>
  </si>
  <si>
    <t>Ref</t>
  </si>
  <si>
    <t>Interface</t>
  </si>
  <si>
    <t>Board / location</t>
  </si>
  <si>
    <t>Connector</t>
  </si>
  <si>
    <t>Board-side MPN</t>
  </si>
  <si>
    <t>Mating / cable-side MPN</t>
  </si>
  <si>
    <t>J1</t>
  </si>
  <si>
    <t>AC mains inlet · filter · switch · fuse</t>
  </si>
  <si>
    <t>rear panel</t>
  </si>
  <si>
    <t>IEC C14 power entry module</t>
  </si>
  <si>
    <t>Schaffner FN9264-6-06</t>
  </si>
  <si>
    <t>IEC C13 cord set</t>
  </si>
  <si>
    <t>J2</t>
  </si>
  <si>
    <t>Ethernet · hard-wired LAN</t>
  </si>
  <si>
    <t>rear panel bulkhead</t>
  </si>
  <si>
    <t>RJ45 feed-through, D-shape</t>
  </si>
  <si>
    <t>Neutrik NE8FDP</t>
  </si>
  <si>
    <t>Cat5e / Cat6 patch cord</t>
  </si>
  <si>
    <t>J3</t>
  </si>
  <si>
    <t>Wi-Fi / BT antenna</t>
  </si>
  <si>
    <t>RP-SMA bulkhead + 2.4 / 5 GHz dipole</t>
  </si>
  <si>
    <t>Taoglas TG.30.8113 (antenna)</t>
  </si>
  <si>
    <t>U.FL → RP-SMA bulkhead pigtail, 150 mm</t>
  </si>
  <si>
    <t>F1–F16</t>
  </si>
  <si>
    <t>24 V + 12 V + 48 V feeders</t>
  </si>
  <si>
    <t>DIN rail, cabinet</t>
  </si>
  <si>
    <t>Fuse terminal block 5×20</t>
  </si>
  <si>
    <t>Phoenix Contact UT 4-HESI (5X20) · 3046032</t>
  </si>
  <si>
    <t>5×20 fuses per fuse schedule</t>
  </si>
  <si>
    <t>J47 / J48</t>
  </si>
  <si>
    <t>48 V + control at X / Z drive unit</t>
  </si>
  <si>
    <t>Emtech integrated drive (motor side)</t>
  </si>
  <si>
    <t>manufacturer connector — TBC from datasheet</t>
  </si>
  <si>
    <t>–</t>
  </si>
  <si>
    <t>W29 / W30 power, W11 / W12 control</t>
  </si>
  <si>
    <t>J5</t>
  </si>
  <si>
    <t>24 V motor feeder in (2 + 2 paralleled)</t>
  </si>
  <si>
    <t>LANECTRL ×10</t>
  </si>
  <si>
    <t>Micro-Fit 3.0 4-pin dual row</t>
  </si>
  <si>
    <t>Molex 43045-0400</t>
  </si>
  <si>
    <t>Molex 43025-0400 + 43030-0007 crimp</t>
  </si>
  <si>
    <t>J6 / J7</t>
  </si>
  <si>
    <t>CAN + 12 V bus in / out (CAN_H, CAN_L, 12 V, GND, shield)</t>
  </si>
  <si>
    <t>Micro-Fit 3.0 5-pin single row</t>
  </si>
  <si>
    <t>Molex 43650-0500</t>
  </si>
  <si>
    <t>Molex 43645-0500 + 43030-0007 crimp</t>
  </si>
  <si>
    <t>SW1–7 / D1–7</t>
  </si>
  <si>
    <t>Lane power button + status LED</t>
  </si>
  <si>
    <t>LANECTRL ×10 (front edge of the board, behind the lane bezel)</t>
  </si>
  <si>
    <t>12 mm tactile pushbutton + 5 mm LED</t>
  </si>
  <si>
    <t>Omron B3F-4055 · Kingbright WP7113ID</t>
  </si>
  <si>
    <t>– (PCB-mounted on LANECTRL)</t>
  </si>
  <si>
    <t>J8–J14</t>
  </si>
  <si>
    <t>Conveyor lanes 1–7 · motor +/−, feedback</t>
  </si>
  <si>
    <t>Micro-Fit 3.0 3-pin single row, 5 A/pin</t>
  </si>
  <si>
    <t>Molex 43650-0300</t>
  </si>
  <si>
    <t>Molex 43645-0300 + 43030-0007 · conveyor side: ferrules into its 3-pos pluggable screw terminal (pitch TBC)</t>
  </si>
  <si>
    <t>J15 / J15A</t>
  </si>
  <si>
    <t>CAN in (from MAINCTRL) / CAN + 12 V out (to lane rows)</t>
  </si>
  <si>
    <t>SYSCTRL</t>
  </si>
  <si>
    <t>Micro-Fit 3.0 4-pin dual / 5-pin single row</t>
  </si>
  <si>
    <t>Molex 43045-0400 / 43650-0500</t>
  </si>
  <si>
    <t>Molex 43025-0400 / 43645-0500 + 43030-0007</t>
  </si>
  <si>
    <t>J16 / J17</t>
  </si>
  <si>
    <t>X / Z closed-loop drive control · PUL±, DIR±, ENA±, ALM±, brake +/−</t>
  </si>
  <si>
    <t>Micro-Fit 3.0 10-pin dual row</t>
  </si>
  <si>
    <t>Molex 43045-1000</t>
  </si>
  <si>
    <t>Molex 43025-1000 + 43030-0007 crimp · drive-side mate TBC (Emtech)</t>
  </si>
  <si>
    <t>J18 / J19</t>
  </si>
  <si>
    <t>Steppers · chuck rotate, chuck jaws</t>
  </si>
  <si>
    <t>Micro-Fit 3.0 4-pin, 5 A</t>
  </si>
  <si>
    <t>J20</t>
  </si>
  <si>
    <t>Basket tilt servo · PWM + 6 V</t>
  </si>
  <si>
    <t>SYSCTRL → Z carriage</t>
  </si>
  <si>
    <t>Micro-Fit 3.0 3-pin single row</t>
  </si>
  <si>
    <t>Molex 43645-0300 + 43030-0007 crimp</t>
  </si>
  <si>
    <t>J21–J27</t>
  </si>
  <si>
    <t>Opto sensors ×7 (6 gantry + jaw home)</t>
  </si>
  <si>
    <t>Molex 43645-0300 + 43030-0007 · sensor side: Omron EE-1001 lead re-terminated</t>
  </si>
  <si>
    <t>J29</t>
  </si>
  <si>
    <t>24 V motor supply in (F11)</t>
  </si>
  <si>
    <t>Micro-Fit 3.0 4-pin dual row (2 × 24 V, 2 × GND paralleled, 10 A)</t>
  </si>
  <si>
    <t>Molex 43025-0400 + 43030-0007</t>
  </si>
  <si>
    <t>J30–J33</t>
  </si>
  <si>
    <t>EM latches K1–K4 · 12 V (switched by DOORIO RO1–RO4)</t>
  </si>
  <si>
    <t>DOORIO (COTS)</t>
  </si>
  <si>
    <t>screw terminals on the Waveshare module</t>
  </si>
  <si>
    <t>ferrule</t>
  </si>
  <si>
    <t>latch / sensor side: Micro-Fit 2-pin 43045-0200 / 43025-0200</t>
  </si>
  <si>
    <t>J35–J39</t>
  </si>
  <si>
    <t>Door position sensors ×5 (to DOORIO DI1–DI5 via JB-DOORS)</t>
  </si>
  <si>
    <t>ferrule + WAGO 221 in JB-DOORS</t>
  </si>
  <si>
    <t>J41</t>
  </si>
  <si>
    <t>12 V in (F12) · logic + latch rail</t>
  </si>
  <si>
    <t>Micro-Fit 3.0 4-pin dual row (2 × 12 V, 2 × GND paralleled, 8 A)</t>
  </si>
  <si>
    <t>J46</t>
  </si>
  <si>
    <t>12 V in (F13) · on-board 5 V buck</t>
  </si>
  <si>
    <t>MAINCTRL</t>
  </si>
  <si>
    <t>MYIR-supplied 12 V power plug on the board DC input</t>
  </si>
  <si>
    <t>Molex 43045-0200</t>
  </si>
  <si>
    <t>Molex 43025-0200 + 43030-0007</t>
  </si>
  <si>
    <t>J42</t>
  </si>
  <si>
    <t>CAN master interface</t>
  </si>
  <si>
    <t>on-board CAN 1 of the MYD-LT527-SX (connector type TBC from board manual)</t>
  </si>
  <si>
    <t>pigtail → Micro-Fit 3.0 4-pin to bus · 120 Ω term. here</t>
  </si>
  <si>
    <t>SWD</t>
  </si>
  <si>
    <t>Debug / programming</t>
  </si>
  <si>
    <t>LANECTRL · SYSCTRL</t>
  </si>
  <si>
    <t>ARM 10-pin 1.27 mm</t>
  </si>
  <si>
    <t>Samtec FTSH-105-01-L-DV-K</t>
  </si>
  <si>
    <t>ST-LINK 10-pin ribbon</t>
  </si>
  <si>
    <t>J49</t>
  </si>
  <si>
    <t>RS485 in (Modbus RTU from MAINCTRL) + 12 V in</t>
  </si>
  <si>
    <t>W33, W34</t>
  </si>
  <si>
    <t>Cable list</t>
  </si>
  <si>
    <t>WR_ADHERENT_AAA_TO_BBB_R1 · lengths estimated from the CAD envelope · edit blue cells, totals recalculate</t>
  </si>
  <si>
    <t>W#</t>
  </si>
  <si>
    <t>Cable name</t>
  </si>
  <si>
    <t>From → To</t>
  </si>
  <si>
    <t>Cable</t>
  </si>
  <si>
    <t>Ends</t>
  </si>
  <si>
    <t>Qty</t>
  </si>
  <si>
    <t>Length ea. (m)</t>
  </si>
  <si>
    <t>Total (m)</t>
  </si>
  <si>
    <t>4c cables per run</t>
  </si>
  <si>
    <t>4c 22 AWG stock (m, +20 %)</t>
  </si>
  <si>
    <t>W01</t>
  </si>
  <si>
    <t>WR_ADHERENT_ACIN_TO_PSU24_R1</t>
  </si>
  <si>
    <t>AC inlet → PSU1</t>
  </si>
  <si>
    <t>3 × 18 AWG L / N / PE (exception)</t>
  </si>
  <si>
    <t>ferrule → faston / screw</t>
  </si>
  <si>
    <t>W02</t>
  </si>
  <si>
    <t>WR_ADHERENT_ACIN_TO_PSU12_R1</t>
  </si>
  <si>
    <t>AC inlet → PSU2</t>
  </si>
  <si>
    <t>W31</t>
  </si>
  <si>
    <t>WR_ADHERENT_ACIN_TO_PSU48_R1</t>
  </si>
  <si>
    <t>AC inlet → PSU3 (48 V)</t>
  </si>
  <si>
    <t>ferrule → screw terminal</t>
  </si>
  <si>
    <t>W03</t>
  </si>
  <si>
    <t>WR_ADHERENT_PSU24_TO_DIST_R1</t>
  </si>
  <si>
    <t>PSU1 → DIN fuse block</t>
  </si>
  <si>
    <t>2 × 14 AWG red / black, 20 A (exception)</t>
  </si>
  <si>
    <t>ferrule both ends</t>
  </si>
  <si>
    <t>W04</t>
  </si>
  <si>
    <t>WR_ADHERENT_PSU12_TO_DIST_R1</t>
  </si>
  <si>
    <t>PSU2 → DIN fuse block</t>
  </si>
  <si>
    <t>2 × 16 AWG red / black, 12 A (exception)</t>
  </si>
  <si>
    <t>W32</t>
  </si>
  <si>
    <t>WR_ADHERENT_PSU48_TO_DIST_R1</t>
  </si>
  <si>
    <t>PSU3 → DIN fuse block</t>
  </si>
  <si>
    <t>2 × 16 AWG red / black, 10 A (exception)</t>
  </si>
  <si>
    <t>W05</t>
  </si>
  <si>
    <t>WR_ADHERENT_DIST_TO_MAINCTRL_R1</t>
  </si>
  <si>
    <t>F13 → MAINCTRL J46</t>
  </si>
  <si>
    <t>4c 22 AWG R-B-Y-G · R+Y = 12 V, B+G = GND</t>
  </si>
  <si>
    <t>ferrule → MYIR 12 V power plug (board DC input)</t>
  </si>
  <si>
    <t>W06</t>
  </si>
  <si>
    <t>WR_ADHERENT_DIST_TO_SYSCTRL_24V_R1</t>
  </si>
  <si>
    <t>F11 → SYSCTRL J29 (chuck steppers)</t>
  </si>
  <si>
    <t>4c 22 AWG R-B-Y-G · R+Y = 24 V, B+G = GND (6 A)</t>
  </si>
  <si>
    <t>ferrule → Micro-Fit 4-pin (2 + 2)</t>
  </si>
  <si>
    <t>W07</t>
  </si>
  <si>
    <t>WR_ADHERENT_DIST_TO_SYSCTRL_12V_R1</t>
  </si>
  <si>
    <t>F12 → SYSCTRL J41</t>
  </si>
  <si>
    <t>W29</t>
  </si>
  <si>
    <t>WR_ADHERENT_DIST_TO_XDRIVE_48V_R1</t>
  </si>
  <si>
    <t>F15 → X drive unit power</t>
  </si>
  <si>
    <t>2 × 16 AWG red / black, 48 V 5 A (exception)</t>
  </si>
  <si>
    <t>ferrule → drive terminal (TBC)</t>
  </si>
  <si>
    <t>W30</t>
  </si>
  <si>
    <t>WR_ADHERENT_DIST_TO_ZDRIVE_48V_R1</t>
  </si>
  <si>
    <t>F16 → Z drive unit power (via X chain)</t>
  </si>
  <si>
    <t>2 × 16 AWG red / black, 48 V 5 A, flex (exception)</t>
  </si>
  <si>
    <t>W08</t>
  </si>
  <si>
    <t>WR_ADHERENT_MAINCTRL_TO_SYSCTRL_R1</t>
  </si>
  <si>
    <t>MAINCTRL on-board CAN 1 → SYSCTRL J15</t>
  </si>
  <si>
    <t>4c 22 AWG R-B-Y-G shielded · Y = CAN_H, G = CAN_L, B = GND, R = n/c</t>
  </si>
  <si>
    <t>board CAN header (TBC) ↔ Micro-Fit 4</t>
  </si>
  <si>
    <t>W09</t>
  </si>
  <si>
    <t>WR_ADHERENT_MAINCTRL_TO_RJ45_R1</t>
  </si>
  <si>
    <t>MAINCTRL → rear RJ45 bulkhead</t>
  </si>
  <si>
    <t>Cat6 patch (exception)</t>
  </si>
  <si>
    <t>RJ45 ↔ RJ45</t>
  </si>
  <si>
    <t>W10</t>
  </si>
  <si>
    <t>WR_ADHERENT_MAINCTRL_TO_ANT_R1</t>
  </si>
  <si>
    <t>MAINCTRL → RP-SMA bulkhead</t>
  </si>
  <si>
    <t>coax pigtail (exception)</t>
  </si>
  <si>
    <t>U.FL ↔ RP-SMA</t>
  </si>
  <si>
    <t>W11</t>
  </si>
  <si>
    <t>WR_ADHERENT_SYSCTRL_TO_XDRIVE_R1</t>
  </si>
  <si>
    <t>SYSCTRL J16 → X drive control</t>
  </si>
  <si>
    <t>3 × 4c 22 AWG R-B-Y-G loom: (PUL+ PUL− DIR+ DIR−) (ENA+ ENA− ALM+ ALM−) (brake 24 V R/B, Y/G spare)</t>
  </si>
  <si>
    <t>Micro-Fit 10 → drive connector (TBC)</t>
  </si>
  <si>
    <t>W12</t>
  </si>
  <si>
    <t>WR_ADHERENT_SYSCTRL_TO_ZDRIVE_R1</t>
  </si>
  <si>
    <t>SYSCTRL J17 → Z drive control (via X chain)</t>
  </si>
  <si>
    <t>3 × 4c 22 AWG R-B-Y-G loom, flex, same pin-out as W11</t>
  </si>
  <si>
    <t>W13</t>
  </si>
  <si>
    <t>WR_ADHERENT_SYSCTRL_TO_SERVO_R1</t>
  </si>
  <si>
    <t>SYSCTRL J20 → tilt servo (via X + Z chains)</t>
  </si>
  <si>
    <t>4c 22 AWG R-B-Y-G · R = 6.8 V, B = GND, Y = PWM, G = spare</t>
  </si>
  <si>
    <t>Micro-Fit 3 → Micro-Fit 3 (servo 300 mm lead re-terminated)</t>
  </si>
  <si>
    <t>W14</t>
  </si>
  <si>
    <t>WR_ADHERENT_SYSCTRL_TO_JBGANTRY_R1</t>
  </si>
  <si>
    <t>SYSCTRL J21–J26 → JB-GANTRY (column base)</t>
  </si>
  <si>
    <t>3 × 4c 22 AWG R-B-Y-G loom · each: R = +12 V, B = GND, Y/G = 2 sensor outputs</t>
  </si>
  <si>
    <t>Micro-Fit 3 ×6 → ferrule + WAGO 221</t>
  </si>
  <si>
    <t>W15</t>
  </si>
  <si>
    <t>WR_ADHERENT_JBGANTRY_TO_SENSn_R1</t>
  </si>
  <si>
    <t>JB-GANTRY → 6 × EE-SX67x-WR</t>
  </si>
  <si>
    <t>sensor 1 m 4-core robot cable (brown Vcc, blue 0 V, black OUT, pink L to 0 V or open)</t>
  </si>
  <si>
    <t>ferrule + WAGO 221 ← sensor lead</t>
  </si>
  <si>
    <t>W16</t>
  </si>
  <si>
    <t>WR_ADHERENT_SYSCTRL_TO_CHUCKROT_R1</t>
  </si>
  <si>
    <t>SYSCTRL J18 → chuck rotate stepper</t>
  </si>
  <si>
    <t>4c 22 AWG R-B-Y-G shielded · R/B = phase A, Y/G = phase B</t>
  </si>
  <si>
    <t>Micro-Fit 4 → crimp to motor leads</t>
  </si>
  <si>
    <t>W17</t>
  </si>
  <si>
    <t>WR_ADHERENT_SYSCTRL_TO_CHUCKJAW_R1</t>
  </si>
  <si>
    <t>SYSCTRL J19 → chuck jaw stepper</t>
  </si>
  <si>
    <t>W18</t>
  </si>
  <si>
    <t>WR_ADHERENT_SYSCTRL_TO_JAWSENS_R1</t>
  </si>
  <si>
    <t>SYSCTRL J27 → jaw home sensor</t>
  </si>
  <si>
    <t>4c 22 AWG R-B-Y-G · R = +V, B = GND, Y = out, G = spare</t>
  </si>
  <si>
    <t>Micro-Fit 3 → sensor lead</t>
  </si>
  <si>
    <t>W19</t>
  </si>
  <si>
    <t>WR_ADHERENT_MAINCTRL_TO_MARKER_R1</t>
  </si>
  <si>
    <t>MAINCTRL → label marker</t>
  </si>
  <si>
    <t>USB or Cat6 (exception, TBC)</t>
  </si>
  <si>
    <t>moulded</t>
  </si>
  <si>
    <t>W20</t>
  </si>
  <si>
    <t>WR_ADHERENT_DOORIO_TO_LATCH12_R1</t>
  </si>
  <si>
    <t>DOORIO RO1 / RO2 → K1 main + K2 retrieval latch</t>
  </si>
  <si>
    <t>4c 22 AWG R-B-Y-G · R/B = K1, Y/G = K2</t>
  </si>
  <si>
    <t>ferrule (DOORIO relay terminals) → 2 × Micro-Fit 2</t>
  </si>
  <si>
    <t>W21</t>
  </si>
  <si>
    <t>WR_ADHERENT_DOORIO_TO_LATCH34_R1</t>
  </si>
  <si>
    <t>DOORIO RO3 / RO4 → K3 return + K4 table latch</t>
  </si>
  <si>
    <t>4c 22 AWG R-B-Y-G · R/B = K3, Y/G = K4</t>
  </si>
  <si>
    <t>W22</t>
  </si>
  <si>
    <t>WR_ADHERENT_DOORIO_TO_JBDOORS_R1</t>
  </si>
  <si>
    <t>DOORIO DI1–DI5 → JB-DOORS</t>
  </si>
  <si>
    <t>2 × 4c 22 AWG R-B-Y-G · B = GND common, R/Y/G = 3 inputs each</t>
  </si>
  <si>
    <t>ferrule (DOORIO DI terminals) → ferrule + WAGO 221</t>
  </si>
  <si>
    <t>W23</t>
  </si>
  <si>
    <t>WR_ADHERENT_JBDOORS_TO_DOORSENSn_R1</t>
  </si>
  <si>
    <t>JB-DOORS → 5 door sensors</t>
  </si>
  <si>
    <t>4c 22 AWG R-B-Y-G (R = signal, B = GND, Y/G spare)</t>
  </si>
  <si>
    <t>ferrule + WAGO 221 → sensor</t>
  </si>
  <si>
    <t>W24</t>
  </si>
  <si>
    <t>WR_ADHERENT_DIST_TO_LANECTRLnn_R1</t>
  </si>
  <si>
    <t>F1–F10 → LANECTRL-01…10 J5</t>
  </si>
  <si>
    <t>4c 22 AWG R-B-Y-G · R+Y = 24 V, B+G = GND (2 × 22 AWG per pole, 5 A)</t>
  </si>
  <si>
    <t>ferrule (fuse block) → Micro-Fit 4 (2 + 2)</t>
  </si>
  <si>
    <t>W25</t>
  </si>
  <si>
    <t>WR_ADHERENT_SYSCTRL_TO_LANECTRL10_R1</t>
  </si>
  <si>
    <t>SYSCTRL J15A → LANECTRL-10 J6</t>
  </si>
  <si>
    <t>4c 22 AWG R-B-Y-G shielded · R = 12 V, B = GND, Y = CAN_H, G = CAN_L</t>
  </si>
  <si>
    <t>Micro-Fit 5 ↔ Micro-Fit 5 (pin 5 = shield)</t>
  </si>
  <si>
    <t>W26</t>
  </si>
  <si>
    <t>WR_ADHERENT_LANECTRLnn_TO_LANECTRLmm_R1</t>
  </si>
  <si>
    <t>LANECTRL-10 → 09 → … → 01 (J7 → J6)</t>
  </si>
  <si>
    <t>Micro-Fit 5 ↔ Micro-Fit 5</t>
  </si>
  <si>
    <t>W27</t>
  </si>
  <si>
    <t>WR_ADHERENT_LANECTRLnn_TO_LANEm_R1</t>
  </si>
  <si>
    <t>LANECTRL J8–J14 (front edge) → 7 conveyors per row</t>
  </si>
  <si>
    <t>4c 22 AWG R-B-Y-G · R = M+ (pin 1), B = M− (pin 2), Y = signal (pin 3), G = spare</t>
  </si>
  <si>
    <t>Micro-Fit 3 → ferrules into the conveyor 3-pos pluggable screw terminal (pitch TBC)</t>
  </si>
  <si>
    <t>W28</t>
  </si>
  <si>
    <t>WR_ADHERENT_DOORIO_TO_DOORACT_R1</t>
  </si>
  <si>
    <t>DOORIO RO5–RO8 (reversing pairs) → future door actuators</t>
  </si>
  <si>
    <t>4c 22 AWG R-B-Y-G (TBD with actuator set)</t>
  </si>
  <si>
    <t>ferrule (DOORIO relay terminals) → TBD</t>
  </si>
  <si>
    <t>W33</t>
  </si>
  <si>
    <t>WR_ADHERENT_MAINCTRL_TO_DOORIO_R1</t>
  </si>
  <si>
    <t>MAINCTRL RS485 port → DOORIO RS485</t>
  </si>
  <si>
    <t>4c 22 AWG R-B-Y-G shielded · Y = A, G = B, B = GND, R = n/c · 120 Ω at both ends</t>
  </si>
  <si>
    <t>ferrule (MYD RS485 terminal) ↔ ferrule (DOORIO RS485 terminal)</t>
  </si>
  <si>
    <t>W34</t>
  </si>
  <si>
    <t>WR_ADHERENT_DIST_TO_DOORIO_R1</t>
  </si>
  <si>
    <t>F17 → DOORIO power + latch 12 V</t>
  </si>
  <si>
    <t>ferrule (fuse block) → ferrule (DOORIO power terminal)</t>
  </si>
  <si>
    <t>Totals</t>
  </si>
  <si>
    <t>Column I = number of standard 4c 22 AWG cables in the run (0 = exception cable or sensor-supplied lead). Column J = F × G × I × 1.2 service allowance. W24 length is the average of the 10 rows (0.8 m bottom → 2.4 m top). W28 quantity is 0 until the door actuator set is defined.</t>
  </si>
  <si>
    <t>Electronics / PCB list</t>
  </si>
  <si>
    <t>Custom boards HW_ADHERENT_XXX_R1 with firmware FW_ADHERENT_XXX_R1, plus off-the-shelf modules</t>
  </si>
  <si>
    <t>#</t>
  </si>
  <si>
    <t>Board / module</t>
  </si>
  <si>
    <t>Type</t>
  </si>
  <si>
    <t>Function</t>
  </si>
  <si>
    <t>Key parts / I/O</t>
  </si>
  <si>
    <t>Firmware</t>
  </si>
  <si>
    <t>Location</t>
  </si>
  <si>
    <t>Connectors / cables</t>
  </si>
  <si>
    <t>1</t>
  </si>
  <si>
    <t>MAINCTRL · MYIR MYD-LT527-SX (MYD-LT527M-16E2D-180-E-SX)</t>
  </si>
  <si>
    <t>COTS single-board computer, ≈ USD 95</t>
  </si>
  <si>
    <t>Supervisory controller: web UI, REST vend API, job log, CAN master</t>
  </si>
  <si>
    <t>Allwinner T527 octa Cortex-A55 1.8 GHz · 2 GB LPDDR4 · 16 GB eMMC · 2 × GbE · 1 × USB 3.0 + 1 × USB 2.0 Type-A + 4 × USB 2.0 header · 2 × CAN · RS485, 2 × RS232 · Wi-Fi 802.11ac / BT 5.0 · mini-PCIe (USB) + SIM for 4G/5G · HDMI / LVDS / eDP / MIPI-DSI · 2 × MIPI-CSI · 12 V / 2 A · −20…70 °C · 140 × 100 mm</t>
  </si>
  <si>
    <t>FW_ADHERENT_MAINCTRL_R1 (Linux application; board ships with Android 13 / kernel 5.15 — Linux BSP for the -SX to be confirmed with MYIR)</t>
  </si>
  <si>
    <t>cabinet</t>
  </si>
  <si>
    <t>board DC plug (W05), CAN header (W08), RJ45 (W09)</t>
  </si>
  <si>
    <t>2</t>
  </si>
  <si>
    <t>HW_ADHERENT_SYSCTRL_R1</t>
  </si>
  <si>
    <t>custom PCB, STM32</t>
  </si>
  <si>
    <t>Real-time machine board: gantry, labeling mechanism</t>
  </si>
  <si>
    <t>X / Z: 2 × differential STEP/DIR/ENA line drivers (5 V, 24 V-tolerant), 2 × ALARM opto inputs, 2 × 24 V brake outputs · chuck: 1 × TMC5160 (NEMA23) + 1 × TMC2209 (NEMA11) · servo PWM + 6.8 V / 3 A buck · 7 opto inputs · stack light · spare outputs (door relays and sensors moved to DOORIO) · temp / humidity · CAN node · 24 V + 12 V in</t>
  </si>
  <si>
    <t>FW_ADHERENT_SYSCTRL_R1</t>
  </si>
  <si>
    <t>J15, J15A, J16–J41</t>
  </si>
  <si>
    <t>3</t>
  </si>
  <si>
    <t>HW_ADHERENT_LANECTRL_R1</t>
  </si>
  <si>
    <t>custom PCB, STM32 (CAN)</t>
  </si>
  <si>
    <t>Row board: drives the 7 conveyor lanes and carries the 7 lane power buttons + 7 status LEDs</t>
  </si>
  <si>
    <t>7 × H-bridge 2 A (DRV8876 class) + SMBJ33CA TVS per output · 7 feedback inputs · 7 × Omron B3F-4055 tactile buttons + 7 × 5 mm LEDs on the front edge · CAN in / out with 12 V pass-through · 24 V in, on-board fuse · 3.3 V regulator</t>
  </si>
  <si>
    <t>FW_ADHERENT_LANECTRL_R1 (one image, node ID by jumper / EEPROM)</t>
  </si>
  <si>
    <t>10</t>
  </si>
  <si>
    <t>front edge of each row, behind the lane bezel</t>
  </si>
  <si>
    <t>J5–J14</t>
  </si>
  <si>
    <t>4</t>
  </si>
  <si>
    <t>PSU1 · Mean Well RSP-500-24</t>
  </si>
  <si>
    <t>COTS</t>
  </si>
  <si>
    <t>24 V rail: conveyors, chuck steppers</t>
  </si>
  <si>
    <t>500 W, PFC, 115 / 230 VAC</t>
  </si>
  <si>
    <t>W01, W03</t>
  </si>
  <si>
    <t>5</t>
  </si>
  <si>
    <t>PSU2 · Mean Well LRS-150-12</t>
  </si>
  <si>
    <t>12 V logic rail for all boards, latches, future door actuators</t>
  </si>
  <si>
    <t>150 W</t>
  </si>
  <si>
    <t>W02, W04</t>
  </si>
  <si>
    <t>6</t>
  </si>
  <si>
    <t>PSU3 · S-500-48 (from mechanical BOM)</t>
  </si>
  <si>
    <t>48 V rail for the X / Z closed-loop integrated drives</t>
  </si>
  <si>
    <t>48 V 10.4 A, 90–135 / 180–264 VAC selector, fan-cooled, 215 × 115 × 50 mm</t>
  </si>
  <si>
    <t>W31, W32</t>
  </si>
  <si>
    <t>7</t>
  </si>
  <si>
    <t>X / Z closed-loop stepper + integrated driver · Emtech 57BYG250-76</t>
  </si>
  <si>
    <t>COTS (mech BOM)</t>
  </si>
  <si>
    <t>Gantry axes, 2 N·m, 4 A, brake; X with 3:1 planetary gearbox</t>
  </si>
  <si>
    <t>drive 24–48 V, STEP/DIR/ENA, ALARM, brake — interface TBC from datasheet</t>
  </si>
  <si>
    <t>gantry</t>
  </si>
  <si>
    <t>W11 / W12, W29 / W30</t>
  </si>
  <si>
    <t>8</t>
  </si>
  <si>
    <t>DIN fuse terminals · Phoenix UT 4-HESI (5×20)</t>
  </si>
  <si>
    <t>24 V + 12 V + 48 V distribution F1–F16</t>
  </si>
  <si>
    <t>5 × 20 mm fuses per schedule</t>
  </si>
  <si>
    <t>16</t>
  </si>
  <si>
    <t>cabinet DIN rail</t>
  </si>
  <si>
    <t>W03–W07, W24, W29, W30</t>
  </si>
  <si>
    <t>9</t>
  </si>
  <si>
    <t>Label marker</t>
  </si>
  <si>
    <t>Prints prescription text (laser marker or thermal printer — TBC)</t>
  </si>
  <si>
    <t>USB or Ethernet, own PSU</t>
  </si>
  <si>
    <t>labeling station</t>
  </si>
  <si>
    <t>Stack light, 12 V</t>
  </si>
  <si>
    <t>Machine status</t>
  </si>
  <si>
    <t>3-colour, 12 V</t>
  </si>
  <si>
    <t>cabinet top / front</t>
  </si>
  <si>
    <t>11</t>
  </si>
  <si>
    <t>DOORIO · Waveshare ESP32-S3-ETH-8DI-8RO</t>
  </si>
  <si>
    <t>COTS relay / IO module, ≈ USD 30–40 (verify)</t>
  </si>
  <si>
    <t>Door latches K1–K4, door sensors, future door actuators</t>
  </si>
  <si>
    <t>ESP32-S3 · 8 × relay 10 A 250 VAC / 30 VDC (1NO 1NC) · 8 × opto-isolated DI · isolated RS485 with 120 Ω jumper · 7–36 V in · TCA9554 relay expander · DIN-rail ABS box 90 × 175 mm · Wi-Fi / BLE / Ethernet not used</t>
  </si>
  <si>
    <t>FW_ADHERENT_DOORIO_R1 (Modbus RTU slave, radios disabled)</t>
  </si>
  <si>
    <t>near the doors, DIN rail</t>
  </si>
  <si>
    <t>J49 (RS485 + 12 V), RO1–RO8, DI1–DI8</t>
  </si>
  <si>
    <t>Conveyor CB002-24V-573mm (datasheet 2026-07-31): 24 VDC brushed gearmotor, ≤0.2 A no-load, 5.8 cm/s, ≤6 kg rated load, 676 × 70 × 50 mm, 3-pos screw terminal (1 +, 2 −, 3 signal). Not a PCB; listed for the LANECTRL H-bridge and fuse sizing. Stall current and signal type still to be confirmed.</t>
  </si>
  <si>
    <t>Power distribution · loads per rail</t>
  </si>
  <si>
    <t>PSU1 24 V = motor rail (conveyors, chuck steppers, brakes) · PSU2 12 V = logic rail for every board, latches, lights · PSU3 48 V = gantry X / Z drives. "Typical" = steady state while one lane dispenses; "Peak" = the most units that can be on at the same time on that rail. Blue cells are Rev A estimates — replace with bench measurements, everything below recalculates.</t>
  </si>
  <si>
    <t>Rail</t>
  </si>
  <si>
    <t>PSU</t>
  </si>
  <si>
    <t>Fuse</t>
  </si>
  <si>
    <t>Load</t>
  </si>
  <si>
    <t>Qty installed</t>
  </si>
  <si>
    <t>Units on · typical</t>
  </si>
  <si>
    <t>Units on · peak</t>
  </si>
  <si>
    <t>A each · typical</t>
  </si>
  <si>
    <t>A each · peak</t>
  </si>
  <si>
    <t>Typical A total</t>
  </si>
  <si>
    <t>Peak A total</t>
  </si>
  <si>
    <t>When</t>
  </si>
  <si>
    <t>Source / assumption</t>
  </si>
  <si>
    <t>24 V</t>
  </si>
  <si>
    <t>PSU1</t>
  </si>
  <si>
    <t>F1–F10</t>
  </si>
  <si>
    <t>Conveyor CB002-24V-573mm (70 lanes, 7 per row)</t>
  </si>
  <si>
    <t>one lane per dispense; peak = a whole row jogged in service</t>
  </si>
  <si>
    <t>datasheet: ≤0.2 A no-load, 5.8 cm/s, ≤6 kg; loaded run ≈0.6 A and stall 2 A assumed (LANECTRL H-bridge limit)</t>
  </si>
  <si>
    <t>LANECTRL motor-stage losses (H-bridges, TVS)</t>
  </si>
  <si>
    <t>continuous</t>
  </si>
  <si>
    <t>estimate</t>
  </si>
  <si>
    <t>F11</t>
  </si>
  <si>
    <t>Chuck rotate stepper NEMA23 + TMC5160</t>
  </si>
  <si>
    <t>label alignment</t>
  </si>
  <si>
    <t>estimate from 2.8 A phase current at 24 V</t>
  </si>
  <si>
    <t>Chuck jaw stepper NEMA11 + TMC2209</t>
  </si>
  <si>
    <t>clamp / release</t>
  </si>
  <si>
    <t>X / Z drive brakes (24 V coils, released while moving)</t>
  </si>
  <si>
    <t>while gantry moves</t>
  </si>
  <si>
    <t>estimate — confirm with Emtech 57BYG250-76 datasheet</t>
  </si>
  <si>
    <t>12 V</t>
  </si>
  <si>
    <t>PSU2</t>
  </si>
  <si>
    <t>F13</t>
  </si>
  <si>
    <t>MAINCTRL · MYIR MYD-LT527-SX</t>
  </si>
  <si>
    <t>board spec 12 V / 2 A adapter; typical estimated</t>
  </si>
  <si>
    <t>F12</t>
  </si>
  <si>
    <t>SYSCTRL logic (STM32, CAN, opto inputs)</t>
  </si>
  <si>
    <t>Tilt servo DS3218 via 6.8 V buck</t>
  </si>
  <si>
    <t>basket tilt</t>
  </si>
  <si>
    <t>datasheet: stall 2.2 A at 6.8 V → ≈1.5 A from 12 V incl. buck loss</t>
  </si>
  <si>
    <t>Stack light</t>
  </si>
  <si>
    <t>Interior lighting zones, LED strip (proposal, not yet approved)</t>
  </si>
  <si>
    <t>on by event</t>
  </si>
  <si>
    <t>estimate 1 A per zone</t>
  </si>
  <si>
    <t>F14</t>
  </si>
  <si>
    <t>LANECTRL logic + lane LEDs (12 V rides in the CAN cable)</t>
  </si>
  <si>
    <t>estimate: 0.1 A logic + 7 LEDs × 20 mA</t>
  </si>
  <si>
    <t>F17</t>
  </si>
  <si>
    <t>DOORIO · Waveshare ESP32-S3-ETH-8DI-8RO (8 relay coils)</t>
  </si>
  <si>
    <t>coils only while a latch is energised</t>
  </si>
  <si>
    <t>estimate: ESP32 0.25 A + 8 × 70 mA coils</t>
  </si>
  <si>
    <t>EM latches K1–K4 (main, retrieval, return, table door)</t>
  </si>
  <si>
    <t>momentary, one door event at a time</t>
  </si>
  <si>
    <t>estimate 0.6 A per latch — latch datasheet pending</t>
  </si>
  <si>
    <t>Door actuator set (customer to define)</t>
  </si>
  <si>
    <t>not defined</t>
  </si>
  <si>
    <t>placeholder</t>
  </si>
  <si>
    <t>48 V</t>
  </si>
  <si>
    <t>PSU3</t>
  </si>
  <si>
    <t>F15</t>
  </si>
  <si>
    <t>X closed-loop drive Emtech 57BYG250-76 (4 A phase)</t>
  </si>
  <si>
    <t>gantry travel</t>
  </si>
  <si>
    <t>estimate; supply current is below phase current at 48 V</t>
  </si>
  <si>
    <t>F16</t>
  </si>
  <si>
    <t>Z closed-loop drive Emtech 57BYG250-76 (4 A phase)</t>
  </si>
  <si>
    <t>lift; brake holds at rest</t>
  </si>
  <si>
    <t>Rail summary</t>
  </si>
  <si>
    <t>Rated A</t>
  </si>
  <si>
    <t>Rated W</t>
  </si>
  <si>
    <t>Typical A</t>
  </si>
  <si>
    <t>Peak A</t>
  </si>
  <si>
    <t>Peak / rated</t>
  </si>
  <si>
    <t>Typical W</t>
  </si>
  <si>
    <t>Peak W</t>
  </si>
  <si>
    <t>Verdict</t>
  </si>
  <si>
    <t>Note</t>
  </si>
  <si>
    <t>Peak is the service case of a whole row jogged (7 lanes) plus chuck; normal dispense peak ≈ 8 A. A 200 W unit would do if row-jog is never needed.</t>
  </si>
  <si>
    <t>Peak includes the 3 proposed lighting zones (3 A). Without lighting peak ≈ 8 A. If lighting is approved, step up to LRS-200-12 or feed lights from their own supply.</t>
  </si>
  <si>
    <t>PSU3 · S-500-48</t>
  </si>
  <si>
    <t>X and Z rarely accelerate together; comfortable margin.</t>
  </si>
  <si>
    <t>AC input estimate</t>
  </si>
  <si>
    <t>PSU efficiency (assumed)</t>
  </si>
  <si>
    <t>Typical AC power (W)</t>
  </si>
  <si>
    <t>Peak AC power, all rails at peak together (W)</t>
  </si>
  <si>
    <t>Peak AC current at 120 V (A)</t>
  </si>
  <si>
    <t>Peak AC current at 230 V (A)</t>
  </si>
  <si>
    <t>Inlet / breaker</t>
  </si>
  <si>
    <t>IEC C14 inlet (UL 15 A) with 2-pole 15 A breaker at 120 V (10 A at 230 V); PSU inrush limited by the NTC in the Mean Well units; peaks of the three rails do not coincide in normal operation</t>
  </si>
  <si>
    <t>Fuse cross-check: F1–F10 (5 A per row) allow 2 lanes of one row at stall; F11 (6 A) covers chuck + brakes; F12 (8 A) covers SYSCTRL + servo + lights; F13 (3 A) MAINCTRL; F14 (3 A) lane logic bus; F15 / F16 (5 A) each drive; F17 (3 A) DOORIO + one latch. See the Fuses sheet.</t>
  </si>
  <si>
    <t>DIN fuse block schedule</t>
  </si>
  <si>
    <t>Phoenix Contact UT 4-HESI (5×20) terminals, 5 × 20 mm fuses · ratings are Rev A estimates, confirm against measured currents</t>
  </si>
  <si>
    <t>Rating (A)</t>
  </si>
  <si>
    <t>LANECTRL-01…10 row feeders</t>
  </si>
  <si>
    <t>one per row, W24</t>
  </si>
  <si>
    <t>SYSCTRL chuck stepper rail</t>
  </si>
  <si>
    <t>SYSCTRL logic + latches</t>
  </si>
  <si>
    <t>lane-bus 12 V rail (via SYSCTRL J15A)</t>
  </si>
  <si>
    <t>W25 / W26</t>
  </si>
  <si>
    <t>X drive unit</t>
  </si>
  <si>
    <t>Z drive unit</t>
  </si>
  <si>
    <t>DOORIO module + latch coils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</si>
</sst>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b/>
      <sz val="14"/>
      <color rgb="FF0B1F33"/>
      <name val="Arial"/>
    </font>
    <font>
      <i/>
      <sz val="9"/>
      <color rgb="FF555555"/>
      <name val="Arial"/>
    </font>
    <font>
      <sz val="10"/>
      <name val="Arial"/>
    </font>
    <font>
      <b/>
      <sz val="10"/>
      <name val="Arial"/>
    </font>
    <font>
      <b/>
      <sz val="10"/>
      <color rgb="FFFFFFFF"/>
      <name val="Arial"/>
    </font>
    <font>
      <sz val="10"/>
      <color rgb="FF0000FF"/>
      <name val="Arial"/>
    </font>
    <font>
      <i/>
      <sz val="9"/>
      <color rgb="FF555555"/>
      <name val="Arial"/>
    </font>
    <font>
      <sz val="10"/>
      <color rgb="FF0000FF"/>
      <name val="Arial"/>
    </font>
    <font>
      <b/>
      <sz val="14"/>
      <color rgb="FF0B1F33"/>
      <name val="Arial"/>
    </font>
    <font>
      <i/>
      <sz val="9"/>
      <color rgb="FF555555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2"/>
      <color rgb="FF0B1F33"/>
      <name val="Arial"/>
    </font>
  </fonts>
  <fills count="8">
    <fill>
      <patternFill patternType="none"/>
    </fill>
    <fill>
      <patternFill patternType="gray125"/>
    </fill>
    <fill>
      <patternFill patternType="solid">
        <fgColor rgb="FF0B1F33"/>
      </patternFill>
    </fill>
    <fill>
      <patternFill patternType="solid">
        <fgColor rgb="FFE7EAEF"/>
      </patternFill>
    </fill>
    <fill>
      <patternFill patternType="solid">
        <fgColor rgb="FF0B1F33"/>
      </patternFill>
    </fill>
    <fill>
      <patternFill patternType="solid">
        <fgColor rgb="FFFBE9E7"/>
      </patternFill>
    </fill>
    <fill>
      <patternFill patternType="solid">
        <fgColor rgb="FFFDF3E1"/>
      </patternFill>
    </fill>
    <fill>
      <patternFill patternType="solid">
        <fgColor rgb="FFEAF4FB"/>
      </patternFill>
    </fill>
  </fills>
  <borders count="4">
    <border>
      <left/>
      <right/>
      <top/>
      <bottom/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  <border>
      <left style="thin">
        <color rgb="FFBEC5CE"/>
      </left>
      <right style="thin">
        <color rgb="FFBEC5CE"/>
      </right>
      <top style="thin">
        <color rgb="FFBEC5CE"/>
      </top>
      <bottom style="thin">
        <color rgb="FFBEC5CE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 applyAlignment="1">
      <alignment vertical="top" wrapText="1"/>
    </xf>
    <xf numFmtId="0" fontId="0" fillId="3" borderId="1" xfId="0" applyFill="1" applyBorder="1"/>
    <xf numFmtId="0" fontId="4" fillId="3" borderId="1" xfId="0" applyFont="1" applyFill="1" applyBorder="1"/>
    <xf numFmtId="164" fontId="4" fillId="3" borderId="1" xfId="0" applyNumberFormat="1" applyFont="1" applyFill="1" applyBorder="1"/>
    <xf numFmtId="0" fontId="7" fillId="0" borderId="0" xfId="0" applyFont="1"/>
    <xf numFmtId="0" fontId="3" fillId="0" borderId="2" xfId="0" applyFont="1" applyBorder="1" applyAlignment="1">
      <alignment vertical="top" wrapText="1"/>
    </xf>
    <xf numFmtId="164" fontId="8" fillId="0" borderId="2" xfId="0" applyNumberFormat="1" applyFont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164" fontId="3" fillId="0" borderId="2" xfId="0" applyNumberFormat="1" applyFont="1" applyBorder="1" applyAlignment="1">
      <alignment vertical="top" wrapText="1"/>
    </xf>
    <xf numFmtId="0" fontId="9" fillId="0" borderId="0" xfId="0" applyFont="1"/>
    <xf numFmtId="0" fontId="11" fillId="4" borderId="3" xfId="0" applyFont="1" applyFill="1" applyBorder="1" applyAlignment="1">
      <alignment vertical="center" wrapText="1"/>
    </xf>
    <xf numFmtId="0" fontId="3" fillId="5" borderId="3" xfId="0" applyFont="1" applyFill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12" fillId="0" borderId="3" xfId="0" applyFont="1" applyBorder="1" applyAlignment="1">
      <alignment vertical="top" wrapText="1"/>
    </xf>
    <xf numFmtId="2" fontId="12" fillId="0" borderId="3" xfId="0" applyNumberFormat="1" applyFont="1" applyBorder="1" applyAlignment="1">
      <alignment vertical="top" wrapText="1"/>
    </xf>
    <xf numFmtId="2" fontId="3" fillId="0" borderId="3" xfId="0" applyNumberFormat="1" applyFont="1" applyBorder="1" applyAlignment="1">
      <alignment vertical="top" wrapText="1"/>
    </xf>
    <xf numFmtId="0" fontId="3" fillId="6" borderId="3" xfId="0" applyFont="1" applyFill="1" applyBorder="1" applyAlignment="1">
      <alignment vertical="top" wrapText="1"/>
    </xf>
    <xf numFmtId="0" fontId="3" fillId="7" borderId="3" xfId="0" applyFont="1" applyFill="1" applyBorder="1" applyAlignment="1">
      <alignment vertical="top" wrapText="1"/>
    </xf>
    <xf numFmtId="0" fontId="13" fillId="0" borderId="0" xfId="0" applyFont="1"/>
    <xf numFmtId="164" fontId="3" fillId="0" borderId="3" xfId="0" applyNumberFormat="1" applyFont="1" applyBorder="1" applyAlignment="1">
      <alignment vertical="top" wrapText="1"/>
    </xf>
    <xf numFmtId="9" fontId="3" fillId="0" borderId="3" xfId="0" applyNumberFormat="1" applyFont="1" applyBorder="1" applyAlignment="1">
      <alignment vertical="top" wrapText="1"/>
    </xf>
    <xf numFmtId="1" fontId="3" fillId="0" borderId="3" xfId="0" applyNumberFormat="1" applyFont="1" applyBorder="1" applyAlignment="1">
      <alignment vertical="top" wrapText="1"/>
    </xf>
    <xf numFmtId="9" fontId="12" fillId="0" borderId="0" xfId="0" applyNumberFormat="1" applyFont="1"/>
    <xf numFmtId="1" fontId="3" fillId="0" borderId="0" xfId="0" applyNumberFormat="1" applyFont="1"/>
    <xf numFmtId="164" fontId="3" fillId="0" borderId="0" xfId="0" applyNumberFormat="1" applyFont="1"/>
    <xf numFmtId="0" fontId="10" fillId="0" borderId="0" xfId="0" applyFont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/>
  </sheetViews>
  <sheetFormatPr defaultRowHeight="15" x14ac:dyDescent="0.25"/>
  <cols>
    <col min="1" max="1" width="150" customWidth="1"/>
  </cols>
  <sheetData>
    <row r="1" spans="1:1" ht="18" customHeight="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x14ac:dyDescent="0.25">
      <c r="A9" s="3" t="s">
        <v>7</v>
      </c>
    </row>
    <row r="10" spans="1:1" x14ac:dyDescent="0.25">
      <c r="A10" s="3"/>
    </row>
    <row r="11" spans="1:1" x14ac:dyDescent="0.25">
      <c r="A11" s="4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2" customWidth="1"/>
    <col min="2" max="2" width="44" customWidth="1"/>
    <col min="3" max="3" width="26" customWidth="1"/>
    <col min="4" max="5" width="34" customWidth="1"/>
    <col min="6" max="6" width="48" customWidth="1"/>
  </cols>
  <sheetData>
    <row r="1" spans="1:6" ht="18" customHeight="1" x14ac:dyDescent="0.25">
      <c r="A1" s="1" t="s">
        <v>14</v>
      </c>
    </row>
    <row r="2" spans="1:6" x14ac:dyDescent="0.25">
      <c r="A2" s="2" t="s">
        <v>15</v>
      </c>
    </row>
    <row r="4" spans="1:6" ht="30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</row>
    <row r="5" spans="1:6" x14ac:dyDescent="0.25">
      <c r="A5" s="6" t="s">
        <v>22</v>
      </c>
      <c r="B5" s="6" t="s">
        <v>23</v>
      </c>
      <c r="C5" s="6" t="s">
        <v>24</v>
      </c>
      <c r="D5" s="6" t="s">
        <v>25</v>
      </c>
      <c r="E5" s="6" t="s">
        <v>26</v>
      </c>
      <c r="F5" s="6" t="s">
        <v>27</v>
      </c>
    </row>
    <row r="6" spans="1:6" x14ac:dyDescent="0.25">
      <c r="A6" s="6" t="s">
        <v>28</v>
      </c>
      <c r="B6" s="6" t="s">
        <v>29</v>
      </c>
      <c r="C6" s="6" t="s">
        <v>30</v>
      </c>
      <c r="D6" s="6" t="s">
        <v>31</v>
      </c>
      <c r="E6" s="6" t="s">
        <v>32</v>
      </c>
      <c r="F6" s="6" t="s">
        <v>33</v>
      </c>
    </row>
    <row r="7" spans="1:6" ht="25.5" customHeight="1" x14ac:dyDescent="0.25">
      <c r="A7" s="6" t="s">
        <v>34</v>
      </c>
      <c r="B7" s="6" t="s">
        <v>35</v>
      </c>
      <c r="C7" s="6" t="s">
        <v>24</v>
      </c>
      <c r="D7" s="6" t="s">
        <v>36</v>
      </c>
      <c r="E7" s="6" t="s">
        <v>37</v>
      </c>
      <c r="F7" s="6" t="s">
        <v>38</v>
      </c>
    </row>
    <row r="8" spans="1:6" ht="25.5" customHeight="1" x14ac:dyDescent="0.25">
      <c r="A8" s="6" t="s">
        <v>39</v>
      </c>
      <c r="B8" s="6" t="s">
        <v>40</v>
      </c>
      <c r="C8" s="6" t="s">
        <v>41</v>
      </c>
      <c r="D8" s="6" t="s">
        <v>42</v>
      </c>
      <c r="E8" s="6" t="s">
        <v>43</v>
      </c>
      <c r="F8" s="6" t="s">
        <v>44</v>
      </c>
    </row>
    <row r="9" spans="1:6" ht="25.5" customHeight="1" x14ac:dyDescent="0.25">
      <c r="A9" s="6" t="s">
        <v>45</v>
      </c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</row>
    <row r="10" spans="1:6" x14ac:dyDescent="0.25">
      <c r="A10" s="6" t="s">
        <v>51</v>
      </c>
      <c r="B10" s="6" t="s">
        <v>52</v>
      </c>
      <c r="C10" s="6" t="s">
        <v>53</v>
      </c>
      <c r="D10" s="6" t="s">
        <v>54</v>
      </c>
      <c r="E10" s="6" t="s">
        <v>55</v>
      </c>
      <c r="F10" s="6" t="s">
        <v>56</v>
      </c>
    </row>
    <row r="11" spans="1:6" ht="25.5" customHeight="1" x14ac:dyDescent="0.25">
      <c r="A11" s="6" t="s">
        <v>57</v>
      </c>
      <c r="B11" s="6" t="s">
        <v>58</v>
      </c>
      <c r="C11" s="6" t="s">
        <v>53</v>
      </c>
      <c r="D11" s="6" t="s">
        <v>59</v>
      </c>
      <c r="E11" s="6" t="s">
        <v>60</v>
      </c>
      <c r="F11" s="6" t="s">
        <v>61</v>
      </c>
    </row>
    <row r="12" spans="1:6" ht="25.5" customHeight="1" x14ac:dyDescent="0.25">
      <c r="A12" s="6" t="s">
        <v>62</v>
      </c>
      <c r="B12" s="6" t="s">
        <v>63</v>
      </c>
      <c r="C12" s="6" t="s">
        <v>64</v>
      </c>
      <c r="D12" s="6" t="s">
        <v>65</v>
      </c>
      <c r="E12" s="6" t="s">
        <v>66</v>
      </c>
      <c r="F12" s="6" t="s">
        <v>67</v>
      </c>
    </row>
    <row r="13" spans="1:6" ht="25.5" customHeight="1" x14ac:dyDescent="0.25">
      <c r="A13" s="6" t="s">
        <v>68</v>
      </c>
      <c r="B13" s="6" t="s">
        <v>69</v>
      </c>
      <c r="C13" s="6" t="s">
        <v>53</v>
      </c>
      <c r="D13" s="6" t="s">
        <v>70</v>
      </c>
      <c r="E13" s="6" t="s">
        <v>71</v>
      </c>
      <c r="F13" s="6" t="s">
        <v>72</v>
      </c>
    </row>
    <row r="14" spans="1:6" ht="25.5" customHeight="1" x14ac:dyDescent="0.25">
      <c r="A14" s="6" t="s">
        <v>73</v>
      </c>
      <c r="B14" s="6" t="s">
        <v>74</v>
      </c>
      <c r="C14" s="6" t="s">
        <v>75</v>
      </c>
      <c r="D14" s="6" t="s">
        <v>76</v>
      </c>
      <c r="E14" s="6" t="s">
        <v>77</v>
      </c>
      <c r="F14" s="6" t="s">
        <v>78</v>
      </c>
    </row>
    <row r="15" spans="1:6" ht="25.5" customHeight="1" x14ac:dyDescent="0.25">
      <c r="A15" s="6" t="s">
        <v>79</v>
      </c>
      <c r="B15" s="6" t="s">
        <v>80</v>
      </c>
      <c r="C15" s="6" t="s">
        <v>75</v>
      </c>
      <c r="D15" s="6" t="s">
        <v>81</v>
      </c>
      <c r="E15" s="6" t="s">
        <v>82</v>
      </c>
      <c r="F15" s="6" t="s">
        <v>83</v>
      </c>
    </row>
    <row r="16" spans="1:6" ht="25.5" customHeight="1" x14ac:dyDescent="0.25">
      <c r="A16" s="6" t="s">
        <v>84</v>
      </c>
      <c r="B16" s="6" t="s">
        <v>85</v>
      </c>
      <c r="C16" s="6" t="s">
        <v>75</v>
      </c>
      <c r="D16" s="6" t="s">
        <v>86</v>
      </c>
      <c r="E16" s="6" t="s">
        <v>55</v>
      </c>
      <c r="F16" s="6" t="s">
        <v>56</v>
      </c>
    </row>
    <row r="17" spans="1:6" x14ac:dyDescent="0.25">
      <c r="A17" s="6" t="s">
        <v>87</v>
      </c>
      <c r="B17" s="6" t="s">
        <v>88</v>
      </c>
      <c r="C17" s="6" t="s">
        <v>89</v>
      </c>
      <c r="D17" s="6" t="s">
        <v>90</v>
      </c>
      <c r="E17" s="6" t="s">
        <v>71</v>
      </c>
      <c r="F17" s="6" t="s">
        <v>91</v>
      </c>
    </row>
    <row r="18" spans="1:6" ht="25.5" customHeight="1" x14ac:dyDescent="0.25">
      <c r="A18" s="6" t="s">
        <v>92</v>
      </c>
      <c r="B18" s="6" t="s">
        <v>93</v>
      </c>
      <c r="C18" s="6" t="s">
        <v>75</v>
      </c>
      <c r="D18" s="6" t="s">
        <v>90</v>
      </c>
      <c r="E18" s="6" t="s">
        <v>71</v>
      </c>
      <c r="F18" s="6" t="s">
        <v>94</v>
      </c>
    </row>
    <row r="19" spans="1:6" ht="25.5" customHeight="1" x14ac:dyDescent="0.25">
      <c r="A19" s="6" t="s">
        <v>95</v>
      </c>
      <c r="B19" s="6" t="s">
        <v>96</v>
      </c>
      <c r="C19" s="6" t="s">
        <v>75</v>
      </c>
      <c r="D19" s="6" t="s">
        <v>97</v>
      </c>
      <c r="E19" s="6" t="s">
        <v>55</v>
      </c>
      <c r="F19" s="6" t="s">
        <v>98</v>
      </c>
    </row>
    <row r="20" spans="1:6" ht="25.5" customHeight="1" x14ac:dyDescent="0.25">
      <c r="A20" s="6" t="s">
        <v>99</v>
      </c>
      <c r="B20" s="6" t="s">
        <v>100</v>
      </c>
      <c r="C20" s="6" t="s">
        <v>101</v>
      </c>
      <c r="D20" s="6" t="s">
        <v>102</v>
      </c>
      <c r="E20" s="6" t="s">
        <v>103</v>
      </c>
      <c r="F20" s="6" t="s">
        <v>104</v>
      </c>
    </row>
    <row r="21" spans="1:6" ht="25.5" customHeight="1" x14ac:dyDescent="0.25">
      <c r="A21" s="6" t="s">
        <v>105</v>
      </c>
      <c r="B21" s="6" t="s">
        <v>106</v>
      </c>
      <c r="C21" s="6" t="s">
        <v>101</v>
      </c>
      <c r="D21" s="6" t="s">
        <v>102</v>
      </c>
      <c r="E21" s="6" t="s">
        <v>103</v>
      </c>
      <c r="F21" s="6" t="s">
        <v>107</v>
      </c>
    </row>
    <row r="22" spans="1:6" ht="25.5" customHeight="1" x14ac:dyDescent="0.25">
      <c r="A22" s="6" t="s">
        <v>108</v>
      </c>
      <c r="B22" s="6" t="s">
        <v>109</v>
      </c>
      <c r="C22" s="6" t="s">
        <v>75</v>
      </c>
      <c r="D22" s="6" t="s">
        <v>110</v>
      </c>
      <c r="E22" s="6" t="s">
        <v>55</v>
      </c>
      <c r="F22" s="6" t="s">
        <v>98</v>
      </c>
    </row>
    <row r="23" spans="1:6" ht="25.5" customHeight="1" x14ac:dyDescent="0.25">
      <c r="A23" s="6" t="s">
        <v>111</v>
      </c>
      <c r="B23" s="6" t="s">
        <v>112</v>
      </c>
      <c r="C23" s="6" t="s">
        <v>113</v>
      </c>
      <c r="D23" s="6" t="s">
        <v>114</v>
      </c>
      <c r="E23" s="6" t="s">
        <v>115</v>
      </c>
      <c r="F23" s="6" t="s">
        <v>116</v>
      </c>
    </row>
    <row r="24" spans="1:6" ht="25.5" customHeight="1" x14ac:dyDescent="0.25">
      <c r="A24" s="6" t="s">
        <v>117</v>
      </c>
      <c r="B24" s="6" t="s">
        <v>118</v>
      </c>
      <c r="C24" s="6" t="s">
        <v>113</v>
      </c>
      <c r="D24" s="6" t="s">
        <v>119</v>
      </c>
      <c r="E24" s="6" t="s">
        <v>49</v>
      </c>
      <c r="F24" s="6" t="s">
        <v>120</v>
      </c>
    </row>
    <row r="25" spans="1:6" ht="25.5" customHeight="1" x14ac:dyDescent="0.25">
      <c r="A25" s="6" t="s">
        <v>121</v>
      </c>
      <c r="B25" s="6" t="s">
        <v>122</v>
      </c>
      <c r="C25" s="6" t="s">
        <v>123</v>
      </c>
      <c r="D25" s="6" t="s">
        <v>124</v>
      </c>
      <c r="E25" s="6" t="s">
        <v>125</v>
      </c>
      <c r="F25" s="6" t="s">
        <v>126</v>
      </c>
    </row>
    <row r="26" spans="1:6" ht="25.5" customHeight="1" x14ac:dyDescent="0.25">
      <c r="A26" s="14" t="s">
        <v>127</v>
      </c>
      <c r="B26" s="14" t="s">
        <v>128</v>
      </c>
      <c r="C26" s="14" t="s">
        <v>101</v>
      </c>
      <c r="D26" s="14" t="s">
        <v>102</v>
      </c>
      <c r="E26" s="14" t="s">
        <v>103</v>
      </c>
      <c r="F26" s="14" t="s">
        <v>129</v>
      </c>
    </row>
    <row r="27" spans="1:6" ht="25.5" customHeight="1" x14ac:dyDescent="0.25"/>
    <row r="28" spans="1:6" ht="25.5" customHeight="1" x14ac:dyDescent="0.2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42" customWidth="1"/>
    <col min="3" max="3" width="40" customWidth="1"/>
    <col min="4" max="4" width="52" customWidth="1"/>
    <col min="5" max="5" width="40" customWidth="1"/>
    <col min="6" max="6" width="6" customWidth="1"/>
    <col min="7" max="7" width="12" customWidth="1"/>
    <col min="8" max="8" width="11" customWidth="1"/>
    <col min="9" max="9" width="10" customWidth="1"/>
    <col min="10" max="10" width="16" customWidth="1"/>
  </cols>
  <sheetData>
    <row r="1" spans="1:10" ht="18" customHeight="1" x14ac:dyDescent="0.25">
      <c r="A1" s="1" t="s">
        <v>130</v>
      </c>
    </row>
    <row r="2" spans="1:10" x14ac:dyDescent="0.25">
      <c r="A2" s="2" t="s">
        <v>131</v>
      </c>
    </row>
    <row r="4" spans="1:10" ht="30" customHeight="1" x14ac:dyDescent="0.25">
      <c r="A4" s="5" t="s">
        <v>132</v>
      </c>
      <c r="B4" s="5" t="s">
        <v>133</v>
      </c>
      <c r="C4" s="5" t="s">
        <v>134</v>
      </c>
      <c r="D4" s="5" t="s">
        <v>135</v>
      </c>
      <c r="E4" s="5" t="s">
        <v>136</v>
      </c>
      <c r="F4" s="5" t="s">
        <v>137</v>
      </c>
      <c r="G4" s="5" t="s">
        <v>138</v>
      </c>
      <c r="H4" s="5" t="s">
        <v>139</v>
      </c>
      <c r="I4" s="5" t="s">
        <v>140</v>
      </c>
      <c r="J4" s="5" t="s">
        <v>141</v>
      </c>
    </row>
    <row r="5" spans="1:10" x14ac:dyDescent="0.25">
      <c r="A5" s="6" t="s">
        <v>142</v>
      </c>
      <c r="B5" s="6" t="s">
        <v>143</v>
      </c>
      <c r="C5" s="6" t="s">
        <v>144</v>
      </c>
      <c r="D5" s="6" t="s">
        <v>145</v>
      </c>
      <c r="E5" s="6" t="s">
        <v>146</v>
      </c>
      <c r="F5" s="7">
        <v>1</v>
      </c>
      <c r="G5" s="8">
        <v>0.4</v>
      </c>
      <c r="H5" s="9">
        <f t="shared" ref="H5:H38" si="0">F5*G5</f>
        <v>0.4</v>
      </c>
      <c r="I5" s="7">
        <v>0</v>
      </c>
      <c r="J5" s="9">
        <f t="shared" ref="J5:J38" si="1">F5*G5*I5*1.2</f>
        <v>0</v>
      </c>
    </row>
    <row r="6" spans="1:10" x14ac:dyDescent="0.25">
      <c r="A6" s="6" t="s">
        <v>147</v>
      </c>
      <c r="B6" s="6" t="s">
        <v>148</v>
      </c>
      <c r="C6" s="6" t="s">
        <v>149</v>
      </c>
      <c r="D6" s="6" t="s">
        <v>145</v>
      </c>
      <c r="E6" s="6" t="s">
        <v>146</v>
      </c>
      <c r="F6" s="7">
        <v>1</v>
      </c>
      <c r="G6" s="8">
        <v>0.4</v>
      </c>
      <c r="H6" s="9">
        <f t="shared" si="0"/>
        <v>0.4</v>
      </c>
      <c r="I6" s="7">
        <v>0</v>
      </c>
      <c r="J6" s="9">
        <f t="shared" si="1"/>
        <v>0</v>
      </c>
    </row>
    <row r="7" spans="1:10" x14ac:dyDescent="0.25">
      <c r="A7" s="6" t="s">
        <v>150</v>
      </c>
      <c r="B7" s="6" t="s">
        <v>151</v>
      </c>
      <c r="C7" s="6" t="s">
        <v>152</v>
      </c>
      <c r="D7" s="6" t="s">
        <v>145</v>
      </c>
      <c r="E7" s="6" t="s">
        <v>153</v>
      </c>
      <c r="F7" s="7">
        <v>1</v>
      </c>
      <c r="G7" s="8">
        <v>0.4</v>
      </c>
      <c r="H7" s="9">
        <f t="shared" si="0"/>
        <v>0.4</v>
      </c>
      <c r="I7" s="7">
        <v>0</v>
      </c>
      <c r="J7" s="9">
        <f t="shared" si="1"/>
        <v>0</v>
      </c>
    </row>
    <row r="8" spans="1:10" x14ac:dyDescent="0.25">
      <c r="A8" s="6" t="s">
        <v>154</v>
      </c>
      <c r="B8" s="6" t="s">
        <v>155</v>
      </c>
      <c r="C8" s="6" t="s">
        <v>156</v>
      </c>
      <c r="D8" s="6" t="s">
        <v>157</v>
      </c>
      <c r="E8" s="6" t="s">
        <v>158</v>
      </c>
      <c r="F8" s="7">
        <v>1</v>
      </c>
      <c r="G8" s="8">
        <v>0.5</v>
      </c>
      <c r="H8" s="9">
        <f t="shared" si="0"/>
        <v>0.5</v>
      </c>
      <c r="I8" s="7">
        <v>0</v>
      </c>
      <c r="J8" s="9">
        <f t="shared" si="1"/>
        <v>0</v>
      </c>
    </row>
    <row r="9" spans="1:10" x14ac:dyDescent="0.25">
      <c r="A9" s="6" t="s">
        <v>159</v>
      </c>
      <c r="B9" s="6" t="s">
        <v>160</v>
      </c>
      <c r="C9" s="6" t="s">
        <v>161</v>
      </c>
      <c r="D9" s="6" t="s">
        <v>162</v>
      </c>
      <c r="E9" s="6" t="s">
        <v>158</v>
      </c>
      <c r="F9" s="7">
        <v>1</v>
      </c>
      <c r="G9" s="8">
        <v>0.5</v>
      </c>
      <c r="H9" s="9">
        <f t="shared" si="0"/>
        <v>0.5</v>
      </c>
      <c r="I9" s="7">
        <v>0</v>
      </c>
      <c r="J9" s="9">
        <f t="shared" si="1"/>
        <v>0</v>
      </c>
    </row>
    <row r="10" spans="1:10" x14ac:dyDescent="0.25">
      <c r="A10" s="6" t="s">
        <v>163</v>
      </c>
      <c r="B10" s="6" t="s">
        <v>164</v>
      </c>
      <c r="C10" s="6" t="s">
        <v>165</v>
      </c>
      <c r="D10" s="6" t="s">
        <v>166</v>
      </c>
      <c r="E10" s="6" t="s">
        <v>158</v>
      </c>
      <c r="F10" s="7">
        <v>1</v>
      </c>
      <c r="G10" s="8">
        <v>0.5</v>
      </c>
      <c r="H10" s="9">
        <f t="shared" si="0"/>
        <v>0.5</v>
      </c>
      <c r="I10" s="7">
        <v>0</v>
      </c>
      <c r="J10" s="9">
        <f t="shared" si="1"/>
        <v>0</v>
      </c>
    </row>
    <row r="11" spans="1:10" ht="25.5" customHeight="1" x14ac:dyDescent="0.25">
      <c r="A11" s="6" t="s">
        <v>167</v>
      </c>
      <c r="B11" s="6" t="s">
        <v>168</v>
      </c>
      <c r="C11" s="6" t="s">
        <v>169</v>
      </c>
      <c r="D11" s="6" t="s">
        <v>170</v>
      </c>
      <c r="E11" s="6" t="s">
        <v>171</v>
      </c>
      <c r="F11" s="7">
        <v>1</v>
      </c>
      <c r="G11" s="8">
        <v>0.5</v>
      </c>
      <c r="H11" s="9">
        <f t="shared" si="0"/>
        <v>0.5</v>
      </c>
      <c r="I11" s="7">
        <v>1</v>
      </c>
      <c r="J11" s="9">
        <f t="shared" si="1"/>
        <v>0.6</v>
      </c>
    </row>
    <row r="12" spans="1:10" x14ac:dyDescent="0.25">
      <c r="A12" s="6" t="s">
        <v>172</v>
      </c>
      <c r="B12" s="6" t="s">
        <v>173</v>
      </c>
      <c r="C12" s="6" t="s">
        <v>174</v>
      </c>
      <c r="D12" s="6" t="s">
        <v>175</v>
      </c>
      <c r="E12" s="6" t="s">
        <v>176</v>
      </c>
      <c r="F12" s="7">
        <v>1</v>
      </c>
      <c r="G12" s="8">
        <v>0.5</v>
      </c>
      <c r="H12" s="9">
        <f t="shared" si="0"/>
        <v>0.5</v>
      </c>
      <c r="I12" s="7">
        <v>1</v>
      </c>
      <c r="J12" s="9">
        <f t="shared" si="1"/>
        <v>0.6</v>
      </c>
    </row>
    <row r="13" spans="1:10" x14ac:dyDescent="0.25">
      <c r="A13" s="6" t="s">
        <v>177</v>
      </c>
      <c r="B13" s="6" t="s">
        <v>178</v>
      </c>
      <c r="C13" s="6" t="s">
        <v>179</v>
      </c>
      <c r="D13" s="6" t="s">
        <v>170</v>
      </c>
      <c r="E13" s="6" t="s">
        <v>176</v>
      </c>
      <c r="F13" s="7">
        <v>1</v>
      </c>
      <c r="G13" s="8">
        <v>0.5</v>
      </c>
      <c r="H13" s="9">
        <f t="shared" si="0"/>
        <v>0.5</v>
      </c>
      <c r="I13" s="7">
        <v>1</v>
      </c>
      <c r="J13" s="9">
        <f t="shared" si="1"/>
        <v>0.6</v>
      </c>
    </row>
    <row r="14" spans="1:10" x14ac:dyDescent="0.25">
      <c r="A14" s="6" t="s">
        <v>180</v>
      </c>
      <c r="B14" s="6" t="s">
        <v>181</v>
      </c>
      <c r="C14" s="6" t="s">
        <v>182</v>
      </c>
      <c r="D14" s="6" t="s">
        <v>183</v>
      </c>
      <c r="E14" s="6" t="s">
        <v>184</v>
      </c>
      <c r="F14" s="7">
        <v>1</v>
      </c>
      <c r="G14" s="8">
        <v>1.2</v>
      </c>
      <c r="H14" s="9">
        <f t="shared" si="0"/>
        <v>1.2</v>
      </c>
      <c r="I14" s="7">
        <v>0</v>
      </c>
      <c r="J14" s="9">
        <f t="shared" si="1"/>
        <v>0</v>
      </c>
    </row>
    <row r="15" spans="1:10" x14ac:dyDescent="0.25">
      <c r="A15" s="6" t="s">
        <v>185</v>
      </c>
      <c r="B15" s="6" t="s">
        <v>186</v>
      </c>
      <c r="C15" s="6" t="s">
        <v>187</v>
      </c>
      <c r="D15" s="6" t="s">
        <v>188</v>
      </c>
      <c r="E15" s="6" t="s">
        <v>184</v>
      </c>
      <c r="F15" s="7">
        <v>1</v>
      </c>
      <c r="G15" s="8">
        <v>2.2000000000000002</v>
      </c>
      <c r="H15" s="9">
        <f t="shared" si="0"/>
        <v>2.2000000000000002</v>
      </c>
      <c r="I15" s="7">
        <v>0</v>
      </c>
      <c r="J15" s="9">
        <f t="shared" si="1"/>
        <v>0</v>
      </c>
    </row>
    <row r="16" spans="1:10" ht="25.5" customHeight="1" x14ac:dyDescent="0.25">
      <c r="A16" s="6" t="s">
        <v>189</v>
      </c>
      <c r="B16" s="6" t="s">
        <v>190</v>
      </c>
      <c r="C16" s="6" t="s">
        <v>191</v>
      </c>
      <c r="D16" s="6" t="s">
        <v>192</v>
      </c>
      <c r="E16" s="6" t="s">
        <v>193</v>
      </c>
      <c r="F16" s="7">
        <v>1</v>
      </c>
      <c r="G16" s="8">
        <v>0.4</v>
      </c>
      <c r="H16" s="9">
        <f t="shared" si="0"/>
        <v>0.4</v>
      </c>
      <c r="I16" s="7">
        <v>1</v>
      </c>
      <c r="J16" s="9">
        <f t="shared" si="1"/>
        <v>0.48</v>
      </c>
    </row>
    <row r="17" spans="1:10" x14ac:dyDescent="0.25">
      <c r="A17" s="6" t="s">
        <v>194</v>
      </c>
      <c r="B17" s="6" t="s">
        <v>195</v>
      </c>
      <c r="C17" s="6" t="s">
        <v>196</v>
      </c>
      <c r="D17" s="6" t="s">
        <v>197</v>
      </c>
      <c r="E17" s="6" t="s">
        <v>198</v>
      </c>
      <c r="F17" s="7">
        <v>1</v>
      </c>
      <c r="G17" s="8">
        <v>0.5</v>
      </c>
      <c r="H17" s="9">
        <f t="shared" si="0"/>
        <v>0.5</v>
      </c>
      <c r="I17" s="7">
        <v>0</v>
      </c>
      <c r="J17" s="9">
        <f t="shared" si="1"/>
        <v>0</v>
      </c>
    </row>
    <row r="18" spans="1:10" x14ac:dyDescent="0.25">
      <c r="A18" s="6" t="s">
        <v>199</v>
      </c>
      <c r="B18" s="6" t="s">
        <v>200</v>
      </c>
      <c r="C18" s="6" t="s">
        <v>201</v>
      </c>
      <c r="D18" s="6" t="s">
        <v>202</v>
      </c>
      <c r="E18" s="6" t="s">
        <v>203</v>
      </c>
      <c r="F18" s="7">
        <v>2</v>
      </c>
      <c r="G18" s="8">
        <v>0.3</v>
      </c>
      <c r="H18" s="9">
        <f t="shared" si="0"/>
        <v>0.6</v>
      </c>
      <c r="I18" s="7">
        <v>0</v>
      </c>
      <c r="J18" s="9">
        <f t="shared" si="1"/>
        <v>0</v>
      </c>
    </row>
    <row r="19" spans="1:10" ht="25.5" customHeight="1" x14ac:dyDescent="0.25">
      <c r="A19" s="6" t="s">
        <v>204</v>
      </c>
      <c r="B19" s="6" t="s">
        <v>205</v>
      </c>
      <c r="C19" s="6" t="s">
        <v>206</v>
      </c>
      <c r="D19" s="6" t="s">
        <v>207</v>
      </c>
      <c r="E19" s="6" t="s">
        <v>208</v>
      </c>
      <c r="F19" s="7">
        <v>1</v>
      </c>
      <c r="G19" s="8">
        <v>1.2</v>
      </c>
      <c r="H19" s="9">
        <f t="shared" si="0"/>
        <v>1.2</v>
      </c>
      <c r="I19" s="7">
        <v>3</v>
      </c>
      <c r="J19" s="9">
        <f t="shared" si="1"/>
        <v>4.3199999999999994</v>
      </c>
    </row>
    <row r="20" spans="1:10" x14ac:dyDescent="0.25">
      <c r="A20" s="6" t="s">
        <v>209</v>
      </c>
      <c r="B20" s="6" t="s">
        <v>210</v>
      </c>
      <c r="C20" s="6" t="s">
        <v>211</v>
      </c>
      <c r="D20" s="6" t="s">
        <v>212</v>
      </c>
      <c r="E20" s="6" t="s">
        <v>208</v>
      </c>
      <c r="F20" s="7">
        <v>1</v>
      </c>
      <c r="G20" s="8">
        <v>2.2000000000000002</v>
      </c>
      <c r="H20" s="9">
        <f t="shared" si="0"/>
        <v>2.2000000000000002</v>
      </c>
      <c r="I20" s="7">
        <v>3</v>
      </c>
      <c r="J20" s="9">
        <f t="shared" si="1"/>
        <v>7.92</v>
      </c>
    </row>
    <row r="21" spans="1:10" ht="25.5" customHeight="1" x14ac:dyDescent="0.25">
      <c r="A21" s="6" t="s">
        <v>213</v>
      </c>
      <c r="B21" s="6" t="s">
        <v>214</v>
      </c>
      <c r="C21" s="6" t="s">
        <v>215</v>
      </c>
      <c r="D21" s="6" t="s">
        <v>216</v>
      </c>
      <c r="E21" s="6" t="s">
        <v>217</v>
      </c>
      <c r="F21" s="7">
        <v>1</v>
      </c>
      <c r="G21" s="8">
        <v>3.8</v>
      </c>
      <c r="H21" s="9">
        <f t="shared" si="0"/>
        <v>3.8</v>
      </c>
      <c r="I21" s="7">
        <v>1</v>
      </c>
      <c r="J21" s="9">
        <f t="shared" si="1"/>
        <v>4.5599999999999996</v>
      </c>
    </row>
    <row r="22" spans="1:10" ht="25.5" customHeight="1" x14ac:dyDescent="0.25">
      <c r="A22" s="6" t="s">
        <v>218</v>
      </c>
      <c r="B22" s="6" t="s">
        <v>219</v>
      </c>
      <c r="C22" s="6" t="s">
        <v>220</v>
      </c>
      <c r="D22" s="6" t="s">
        <v>221</v>
      </c>
      <c r="E22" s="6" t="s">
        <v>222</v>
      </c>
      <c r="F22" s="7">
        <v>1</v>
      </c>
      <c r="G22" s="8">
        <v>2</v>
      </c>
      <c r="H22" s="9">
        <f t="shared" si="0"/>
        <v>2</v>
      </c>
      <c r="I22" s="7">
        <v>3</v>
      </c>
      <c r="J22" s="9">
        <f t="shared" si="1"/>
        <v>7.1999999999999993</v>
      </c>
    </row>
    <row r="23" spans="1:10" ht="25.5" customHeight="1" x14ac:dyDescent="0.25">
      <c r="A23" s="6" t="s">
        <v>223</v>
      </c>
      <c r="B23" s="6" t="s">
        <v>224</v>
      </c>
      <c r="C23" s="6" t="s">
        <v>225</v>
      </c>
      <c r="D23" s="6" t="s">
        <v>226</v>
      </c>
      <c r="E23" s="6" t="s">
        <v>227</v>
      </c>
      <c r="F23" s="7">
        <v>6</v>
      </c>
      <c r="G23" s="8">
        <v>1</v>
      </c>
      <c r="H23" s="9">
        <f t="shared" si="0"/>
        <v>6</v>
      </c>
      <c r="I23" s="7">
        <v>0</v>
      </c>
      <c r="J23" s="9">
        <f t="shared" si="1"/>
        <v>0</v>
      </c>
    </row>
    <row r="24" spans="1:10" ht="25.5" customHeight="1" x14ac:dyDescent="0.25">
      <c r="A24" s="6" t="s">
        <v>228</v>
      </c>
      <c r="B24" s="6" t="s">
        <v>229</v>
      </c>
      <c r="C24" s="6" t="s">
        <v>230</v>
      </c>
      <c r="D24" s="6" t="s">
        <v>231</v>
      </c>
      <c r="E24" s="6" t="s">
        <v>232</v>
      </c>
      <c r="F24" s="7">
        <v>1</v>
      </c>
      <c r="G24" s="8">
        <v>1.5</v>
      </c>
      <c r="H24" s="9">
        <f t="shared" si="0"/>
        <v>1.5</v>
      </c>
      <c r="I24" s="7">
        <v>1</v>
      </c>
      <c r="J24" s="9">
        <f t="shared" si="1"/>
        <v>1.7999999999999998</v>
      </c>
    </row>
    <row r="25" spans="1:10" ht="25.5" customHeight="1" x14ac:dyDescent="0.25">
      <c r="A25" s="6" t="s">
        <v>233</v>
      </c>
      <c r="B25" s="6" t="s">
        <v>234</v>
      </c>
      <c r="C25" s="6" t="s">
        <v>235</v>
      </c>
      <c r="D25" s="6" t="s">
        <v>231</v>
      </c>
      <c r="E25" s="6" t="s">
        <v>232</v>
      </c>
      <c r="F25" s="7">
        <v>1</v>
      </c>
      <c r="G25" s="8">
        <v>1.5</v>
      </c>
      <c r="H25" s="9">
        <f t="shared" si="0"/>
        <v>1.5</v>
      </c>
      <c r="I25" s="7">
        <v>1</v>
      </c>
      <c r="J25" s="9">
        <f t="shared" si="1"/>
        <v>1.7999999999999998</v>
      </c>
    </row>
    <row r="26" spans="1:10" ht="25.5" customHeight="1" x14ac:dyDescent="0.25">
      <c r="A26" s="6" t="s">
        <v>236</v>
      </c>
      <c r="B26" s="6" t="s">
        <v>237</v>
      </c>
      <c r="C26" s="6" t="s">
        <v>238</v>
      </c>
      <c r="D26" s="6" t="s">
        <v>239</v>
      </c>
      <c r="E26" s="6" t="s">
        <v>240</v>
      </c>
      <c r="F26" s="7">
        <v>1</v>
      </c>
      <c r="G26" s="8">
        <v>1.5</v>
      </c>
      <c r="H26" s="9">
        <f t="shared" si="0"/>
        <v>1.5</v>
      </c>
      <c r="I26" s="7">
        <v>1</v>
      </c>
      <c r="J26" s="9">
        <f t="shared" si="1"/>
        <v>1.7999999999999998</v>
      </c>
    </row>
    <row r="27" spans="1:10" x14ac:dyDescent="0.25">
      <c r="A27" s="6" t="s">
        <v>241</v>
      </c>
      <c r="B27" s="6" t="s">
        <v>242</v>
      </c>
      <c r="C27" s="6" t="s">
        <v>243</v>
      </c>
      <c r="D27" s="6" t="s">
        <v>244</v>
      </c>
      <c r="E27" s="6" t="s">
        <v>245</v>
      </c>
      <c r="F27" s="7">
        <v>1</v>
      </c>
      <c r="G27" s="8">
        <v>1.5</v>
      </c>
      <c r="H27" s="9">
        <f t="shared" si="0"/>
        <v>1.5</v>
      </c>
      <c r="I27" s="7">
        <v>0</v>
      </c>
      <c r="J27" s="9">
        <f t="shared" si="1"/>
        <v>0</v>
      </c>
    </row>
    <row r="28" spans="1:10" ht="25.5" x14ac:dyDescent="0.25">
      <c r="A28" s="6" t="s">
        <v>246</v>
      </c>
      <c r="B28" s="14" t="s">
        <v>247</v>
      </c>
      <c r="C28" s="14" t="s">
        <v>248</v>
      </c>
      <c r="D28" s="6" t="s">
        <v>249</v>
      </c>
      <c r="E28" s="14" t="s">
        <v>250</v>
      </c>
      <c r="F28" s="7">
        <v>1</v>
      </c>
      <c r="G28" s="15">
        <v>0.8</v>
      </c>
      <c r="H28" s="9">
        <f t="shared" si="0"/>
        <v>0.8</v>
      </c>
      <c r="I28" s="7">
        <v>1</v>
      </c>
      <c r="J28" s="9">
        <f t="shared" si="1"/>
        <v>0.96</v>
      </c>
    </row>
    <row r="29" spans="1:10" ht="25.5" customHeight="1" x14ac:dyDescent="0.25">
      <c r="A29" s="6" t="s">
        <v>251</v>
      </c>
      <c r="B29" s="14" t="s">
        <v>252</v>
      </c>
      <c r="C29" s="14" t="s">
        <v>253</v>
      </c>
      <c r="D29" s="6" t="s">
        <v>254</v>
      </c>
      <c r="E29" s="14" t="s">
        <v>250</v>
      </c>
      <c r="F29" s="7">
        <v>1</v>
      </c>
      <c r="G29" s="15">
        <v>0.8</v>
      </c>
      <c r="H29" s="9">
        <f t="shared" si="0"/>
        <v>0.8</v>
      </c>
      <c r="I29" s="7">
        <v>1</v>
      </c>
      <c r="J29" s="9">
        <f t="shared" si="1"/>
        <v>0.96</v>
      </c>
    </row>
    <row r="30" spans="1:10" ht="25.5" customHeight="1" x14ac:dyDescent="0.25">
      <c r="A30" s="6" t="s">
        <v>255</v>
      </c>
      <c r="B30" s="14" t="s">
        <v>256</v>
      </c>
      <c r="C30" s="14" t="s">
        <v>257</v>
      </c>
      <c r="D30" s="6" t="s">
        <v>258</v>
      </c>
      <c r="E30" s="14" t="s">
        <v>259</v>
      </c>
      <c r="F30" s="7">
        <v>1</v>
      </c>
      <c r="G30" s="15">
        <v>0.6</v>
      </c>
      <c r="H30" s="9">
        <f t="shared" si="0"/>
        <v>0.6</v>
      </c>
      <c r="I30" s="7">
        <v>2</v>
      </c>
      <c r="J30" s="9">
        <f t="shared" si="1"/>
        <v>1.44</v>
      </c>
    </row>
    <row r="31" spans="1:10" ht="25.5" customHeight="1" x14ac:dyDescent="0.25">
      <c r="A31" s="6" t="s">
        <v>260</v>
      </c>
      <c r="B31" s="6" t="s">
        <v>261</v>
      </c>
      <c r="C31" s="6" t="s">
        <v>262</v>
      </c>
      <c r="D31" s="6" t="s">
        <v>263</v>
      </c>
      <c r="E31" s="6" t="s">
        <v>264</v>
      </c>
      <c r="F31" s="7">
        <v>5</v>
      </c>
      <c r="G31" s="8">
        <v>1</v>
      </c>
      <c r="H31" s="9">
        <f t="shared" si="0"/>
        <v>5</v>
      </c>
      <c r="I31" s="7">
        <v>1</v>
      </c>
      <c r="J31" s="9">
        <f t="shared" si="1"/>
        <v>6</v>
      </c>
    </row>
    <row r="32" spans="1:10" ht="25.5" customHeight="1" x14ac:dyDescent="0.25">
      <c r="A32" s="6" t="s">
        <v>265</v>
      </c>
      <c r="B32" s="6" t="s">
        <v>266</v>
      </c>
      <c r="C32" s="6" t="s">
        <v>267</v>
      </c>
      <c r="D32" s="6" t="s">
        <v>268</v>
      </c>
      <c r="E32" s="6" t="s">
        <v>269</v>
      </c>
      <c r="F32" s="7">
        <v>10</v>
      </c>
      <c r="G32" s="8">
        <v>2.4</v>
      </c>
      <c r="H32" s="9">
        <f t="shared" si="0"/>
        <v>24</v>
      </c>
      <c r="I32" s="7">
        <v>1</v>
      </c>
      <c r="J32" s="9">
        <f t="shared" si="1"/>
        <v>28.799999999999997</v>
      </c>
    </row>
    <row r="33" spans="1:10" ht="25.5" customHeight="1" x14ac:dyDescent="0.25">
      <c r="A33" s="6" t="s">
        <v>270</v>
      </c>
      <c r="B33" s="6" t="s">
        <v>271</v>
      </c>
      <c r="C33" s="6" t="s">
        <v>272</v>
      </c>
      <c r="D33" s="6" t="s">
        <v>273</v>
      </c>
      <c r="E33" s="6" t="s">
        <v>274</v>
      </c>
      <c r="F33" s="7">
        <v>1</v>
      </c>
      <c r="G33" s="8">
        <v>1.8</v>
      </c>
      <c r="H33" s="9">
        <f t="shared" si="0"/>
        <v>1.8</v>
      </c>
      <c r="I33" s="7">
        <v>1</v>
      </c>
      <c r="J33" s="9">
        <f t="shared" si="1"/>
        <v>2.16</v>
      </c>
    </row>
    <row r="34" spans="1:10" ht="25.5" customHeight="1" x14ac:dyDescent="0.25">
      <c r="A34" s="6" t="s">
        <v>275</v>
      </c>
      <c r="B34" s="6" t="s">
        <v>276</v>
      </c>
      <c r="C34" s="6" t="s">
        <v>277</v>
      </c>
      <c r="D34" s="6" t="s">
        <v>273</v>
      </c>
      <c r="E34" s="6" t="s">
        <v>278</v>
      </c>
      <c r="F34" s="7">
        <v>9</v>
      </c>
      <c r="G34" s="8">
        <v>0.3</v>
      </c>
      <c r="H34" s="9">
        <f t="shared" si="0"/>
        <v>2.6999999999999997</v>
      </c>
      <c r="I34" s="7">
        <v>1</v>
      </c>
      <c r="J34" s="9">
        <f t="shared" si="1"/>
        <v>3.2399999999999998</v>
      </c>
    </row>
    <row r="35" spans="1:10" ht="25.5" customHeight="1" x14ac:dyDescent="0.25">
      <c r="A35" s="6" t="s">
        <v>279</v>
      </c>
      <c r="B35" s="6" t="s">
        <v>280</v>
      </c>
      <c r="C35" s="6" t="s">
        <v>281</v>
      </c>
      <c r="D35" s="6" t="s">
        <v>282</v>
      </c>
      <c r="E35" s="6" t="s">
        <v>283</v>
      </c>
      <c r="F35" s="7">
        <v>70</v>
      </c>
      <c r="G35" s="8">
        <v>0.8</v>
      </c>
      <c r="H35" s="9">
        <f t="shared" si="0"/>
        <v>56</v>
      </c>
      <c r="I35" s="7">
        <v>1</v>
      </c>
      <c r="J35" s="9">
        <f t="shared" si="1"/>
        <v>67.2</v>
      </c>
    </row>
    <row r="36" spans="1:10" ht="25.5" customHeight="1" x14ac:dyDescent="0.25">
      <c r="A36" s="6" t="s">
        <v>284</v>
      </c>
      <c r="B36" s="14" t="s">
        <v>285</v>
      </c>
      <c r="C36" s="14" t="s">
        <v>286</v>
      </c>
      <c r="D36" s="6" t="s">
        <v>287</v>
      </c>
      <c r="E36" s="14" t="s">
        <v>288</v>
      </c>
      <c r="F36" s="7">
        <v>0</v>
      </c>
      <c r="G36" s="8">
        <v>0</v>
      </c>
      <c r="H36" s="9">
        <f t="shared" si="0"/>
        <v>0</v>
      </c>
      <c r="I36" s="7">
        <v>1</v>
      </c>
      <c r="J36" s="9">
        <f t="shared" si="1"/>
        <v>0</v>
      </c>
    </row>
    <row r="37" spans="1:10" ht="25.5" customHeight="1" x14ac:dyDescent="0.25">
      <c r="A37" s="14" t="s">
        <v>289</v>
      </c>
      <c r="B37" s="14" t="s">
        <v>290</v>
      </c>
      <c r="C37" s="14" t="s">
        <v>291</v>
      </c>
      <c r="D37" s="14" t="s">
        <v>292</v>
      </c>
      <c r="E37" s="14" t="s">
        <v>293</v>
      </c>
      <c r="F37" s="16">
        <v>1</v>
      </c>
      <c r="G37" s="15">
        <v>1.5</v>
      </c>
      <c r="H37" s="17">
        <f t="shared" si="0"/>
        <v>1.5</v>
      </c>
      <c r="I37" s="16">
        <v>1</v>
      </c>
      <c r="J37" s="17">
        <f t="shared" si="1"/>
        <v>1.7999999999999998</v>
      </c>
    </row>
    <row r="38" spans="1:10" ht="25.5" customHeight="1" x14ac:dyDescent="0.25">
      <c r="A38" s="14" t="s">
        <v>294</v>
      </c>
      <c r="B38" s="14" t="s">
        <v>295</v>
      </c>
      <c r="C38" s="14" t="s">
        <v>296</v>
      </c>
      <c r="D38" s="14" t="s">
        <v>170</v>
      </c>
      <c r="E38" s="14" t="s">
        <v>297</v>
      </c>
      <c r="F38" s="16">
        <v>1</v>
      </c>
      <c r="G38" s="15">
        <v>1.5</v>
      </c>
      <c r="H38" s="17">
        <f t="shared" si="0"/>
        <v>1.5</v>
      </c>
      <c r="I38" s="16">
        <v>1</v>
      </c>
      <c r="J38" s="17">
        <f t="shared" si="1"/>
        <v>1.7999999999999998</v>
      </c>
    </row>
    <row r="39" spans="1:10" ht="25.5" customHeight="1" x14ac:dyDescent="0.25">
      <c r="A39" s="10"/>
      <c r="B39" s="11" t="s">
        <v>298</v>
      </c>
      <c r="C39" s="10"/>
      <c r="D39" s="10"/>
      <c r="E39" s="10"/>
      <c r="F39" s="11">
        <f>SUM(F5:F38)</f>
        <v>129</v>
      </c>
      <c r="G39" s="10"/>
      <c r="H39" s="12">
        <f>SUM(H5:H38)</f>
        <v>125</v>
      </c>
      <c r="I39" s="10"/>
      <c r="J39" s="12">
        <f>SUM(J5:J38)</f>
        <v>146.04000000000002</v>
      </c>
    </row>
    <row r="40" spans="1:10" ht="25.5" customHeight="1" x14ac:dyDescent="0.25"/>
    <row r="41" spans="1:10" x14ac:dyDescent="0.25">
      <c r="A41" s="2" t="s">
        <v>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5" customWidth="1"/>
    <col min="2" max="2" width="40" customWidth="1"/>
    <col min="3" max="3" width="26" customWidth="1"/>
    <col min="4" max="4" width="40" customWidth="1"/>
    <col min="5" max="5" width="70" customWidth="1"/>
    <col min="6" max="6" width="34" customWidth="1"/>
    <col min="7" max="7" width="6" customWidth="1"/>
    <col min="8" max="8" width="22" customWidth="1"/>
    <col min="9" max="9" width="24" customWidth="1"/>
  </cols>
  <sheetData>
    <row r="1" spans="1:9" ht="18" customHeight="1" x14ac:dyDescent="0.25">
      <c r="A1" s="1" t="s">
        <v>300</v>
      </c>
    </row>
    <row r="2" spans="1:9" x14ac:dyDescent="0.25">
      <c r="A2" s="2" t="s">
        <v>301</v>
      </c>
    </row>
    <row r="4" spans="1:9" ht="30" customHeight="1" x14ac:dyDescent="0.25">
      <c r="A4" s="5" t="s">
        <v>302</v>
      </c>
      <c r="B4" s="5" t="s">
        <v>303</v>
      </c>
      <c r="C4" s="5" t="s">
        <v>304</v>
      </c>
      <c r="D4" s="5" t="s">
        <v>305</v>
      </c>
      <c r="E4" s="5" t="s">
        <v>306</v>
      </c>
      <c r="F4" s="5" t="s">
        <v>307</v>
      </c>
      <c r="G4" s="5" t="s">
        <v>137</v>
      </c>
      <c r="H4" s="5" t="s">
        <v>308</v>
      </c>
      <c r="I4" s="5" t="s">
        <v>309</v>
      </c>
    </row>
    <row r="5" spans="1:9" ht="38.25" customHeight="1" x14ac:dyDescent="0.25">
      <c r="A5" s="6" t="s">
        <v>310</v>
      </c>
      <c r="B5" s="6" t="s">
        <v>311</v>
      </c>
      <c r="C5" s="6" t="s">
        <v>312</v>
      </c>
      <c r="D5" s="6" t="s">
        <v>313</v>
      </c>
      <c r="E5" s="6" t="s">
        <v>314</v>
      </c>
      <c r="F5" s="6" t="s">
        <v>315</v>
      </c>
      <c r="G5" s="6" t="s">
        <v>310</v>
      </c>
      <c r="H5" s="6" t="s">
        <v>316</v>
      </c>
      <c r="I5" s="6" t="s">
        <v>317</v>
      </c>
    </row>
    <row r="6" spans="1:9" ht="63.75" customHeight="1" x14ac:dyDescent="0.25">
      <c r="A6" s="6" t="s">
        <v>318</v>
      </c>
      <c r="B6" s="6" t="s">
        <v>319</v>
      </c>
      <c r="C6" s="6" t="s">
        <v>320</v>
      </c>
      <c r="D6" s="6" t="s">
        <v>321</v>
      </c>
      <c r="E6" s="6" t="s">
        <v>322</v>
      </c>
      <c r="F6" s="6" t="s">
        <v>323</v>
      </c>
      <c r="G6" s="6" t="s">
        <v>310</v>
      </c>
      <c r="H6" s="6" t="s">
        <v>316</v>
      </c>
      <c r="I6" s="6" t="s">
        <v>324</v>
      </c>
    </row>
    <row r="7" spans="1:9" ht="38.25" customHeight="1" x14ac:dyDescent="0.25">
      <c r="A7" s="6" t="s">
        <v>325</v>
      </c>
      <c r="B7" s="6" t="s">
        <v>326</v>
      </c>
      <c r="C7" s="6" t="s">
        <v>327</v>
      </c>
      <c r="D7" s="6" t="s">
        <v>328</v>
      </c>
      <c r="E7" s="6" t="s">
        <v>329</v>
      </c>
      <c r="F7" s="6" t="s">
        <v>330</v>
      </c>
      <c r="G7" s="6" t="s">
        <v>331</v>
      </c>
      <c r="H7" s="6" t="s">
        <v>332</v>
      </c>
      <c r="I7" s="6" t="s">
        <v>333</v>
      </c>
    </row>
    <row r="8" spans="1:9" ht="25.5" customHeight="1" x14ac:dyDescent="0.25">
      <c r="A8" s="6" t="s">
        <v>334</v>
      </c>
      <c r="B8" s="6" t="s">
        <v>335</v>
      </c>
      <c r="C8" s="6" t="s">
        <v>336</v>
      </c>
      <c r="D8" s="6" t="s">
        <v>337</v>
      </c>
      <c r="E8" s="6" t="s">
        <v>338</v>
      </c>
      <c r="F8" s="6" t="s">
        <v>49</v>
      </c>
      <c r="G8" s="6" t="s">
        <v>310</v>
      </c>
      <c r="H8" s="6" t="s">
        <v>316</v>
      </c>
      <c r="I8" s="6" t="s">
        <v>339</v>
      </c>
    </row>
    <row r="9" spans="1:9" ht="25.5" customHeight="1" x14ac:dyDescent="0.25">
      <c r="A9" s="6" t="s">
        <v>340</v>
      </c>
      <c r="B9" s="6" t="s">
        <v>341</v>
      </c>
      <c r="C9" s="6" t="s">
        <v>336</v>
      </c>
      <c r="D9" s="6" t="s">
        <v>342</v>
      </c>
      <c r="E9" s="6" t="s">
        <v>343</v>
      </c>
      <c r="F9" s="6" t="s">
        <v>49</v>
      </c>
      <c r="G9" s="6" t="s">
        <v>310</v>
      </c>
      <c r="H9" s="6" t="s">
        <v>316</v>
      </c>
      <c r="I9" s="6" t="s">
        <v>344</v>
      </c>
    </row>
    <row r="10" spans="1:9" ht="25.5" customHeight="1" x14ac:dyDescent="0.25">
      <c r="A10" s="6" t="s">
        <v>345</v>
      </c>
      <c r="B10" s="6" t="s">
        <v>346</v>
      </c>
      <c r="C10" s="6" t="s">
        <v>336</v>
      </c>
      <c r="D10" s="6" t="s">
        <v>347</v>
      </c>
      <c r="E10" s="6" t="s">
        <v>348</v>
      </c>
      <c r="F10" s="6" t="s">
        <v>49</v>
      </c>
      <c r="G10" s="6" t="s">
        <v>310</v>
      </c>
      <c r="H10" s="6" t="s">
        <v>316</v>
      </c>
      <c r="I10" s="6" t="s">
        <v>349</v>
      </c>
    </row>
    <row r="11" spans="1:9" ht="25.5" customHeight="1" x14ac:dyDescent="0.25">
      <c r="A11" s="6" t="s">
        <v>350</v>
      </c>
      <c r="B11" s="6" t="s">
        <v>351</v>
      </c>
      <c r="C11" s="6" t="s">
        <v>352</v>
      </c>
      <c r="D11" s="6" t="s">
        <v>353</v>
      </c>
      <c r="E11" s="6" t="s">
        <v>354</v>
      </c>
      <c r="F11" s="6" t="s">
        <v>49</v>
      </c>
      <c r="G11" s="6" t="s">
        <v>318</v>
      </c>
      <c r="H11" s="6" t="s">
        <v>355</v>
      </c>
      <c r="I11" s="6" t="s">
        <v>356</v>
      </c>
    </row>
    <row r="12" spans="1:9" ht="25.5" customHeight="1" x14ac:dyDescent="0.25">
      <c r="A12" s="6" t="s">
        <v>357</v>
      </c>
      <c r="B12" s="6" t="s">
        <v>358</v>
      </c>
      <c r="C12" s="6" t="s">
        <v>336</v>
      </c>
      <c r="D12" s="6" t="s">
        <v>359</v>
      </c>
      <c r="E12" s="6" t="s">
        <v>360</v>
      </c>
      <c r="F12" s="6" t="s">
        <v>49</v>
      </c>
      <c r="G12" s="6" t="s">
        <v>361</v>
      </c>
      <c r="H12" s="6" t="s">
        <v>362</v>
      </c>
      <c r="I12" s="6" t="s">
        <v>363</v>
      </c>
    </row>
    <row r="13" spans="1:9" ht="25.5" customHeight="1" x14ac:dyDescent="0.25">
      <c r="A13" s="6" t="s">
        <v>364</v>
      </c>
      <c r="B13" s="6" t="s">
        <v>365</v>
      </c>
      <c r="C13" s="6" t="s">
        <v>336</v>
      </c>
      <c r="D13" s="6" t="s">
        <v>366</v>
      </c>
      <c r="E13" s="6" t="s">
        <v>367</v>
      </c>
      <c r="F13" s="6" t="s">
        <v>49</v>
      </c>
      <c r="G13" s="6" t="s">
        <v>310</v>
      </c>
      <c r="H13" s="6" t="s">
        <v>368</v>
      </c>
      <c r="I13" s="6" t="s">
        <v>241</v>
      </c>
    </row>
    <row r="14" spans="1:9" ht="25.5" customHeight="1" x14ac:dyDescent="0.25">
      <c r="A14" s="6" t="s">
        <v>331</v>
      </c>
      <c r="B14" s="6" t="s">
        <v>369</v>
      </c>
      <c r="C14" s="6" t="s">
        <v>336</v>
      </c>
      <c r="D14" s="6" t="s">
        <v>370</v>
      </c>
      <c r="E14" s="6" t="s">
        <v>371</v>
      </c>
      <c r="F14" s="6" t="s">
        <v>49</v>
      </c>
      <c r="G14" s="6" t="s">
        <v>310</v>
      </c>
      <c r="H14" s="6" t="s">
        <v>372</v>
      </c>
      <c r="I14" s="6" t="s">
        <v>75</v>
      </c>
    </row>
    <row r="15" spans="1:9" ht="25.5" customHeight="1" x14ac:dyDescent="0.25">
      <c r="A15" s="14" t="s">
        <v>373</v>
      </c>
      <c r="B15" s="14" t="s">
        <v>374</v>
      </c>
      <c r="C15" s="14" t="s">
        <v>375</v>
      </c>
      <c r="D15" s="14" t="s">
        <v>376</v>
      </c>
      <c r="E15" s="14" t="s">
        <v>377</v>
      </c>
      <c r="F15" s="14" t="s">
        <v>378</v>
      </c>
      <c r="G15" s="14" t="s">
        <v>310</v>
      </c>
      <c r="H15" s="14" t="s">
        <v>379</v>
      </c>
      <c r="I15" s="14" t="s">
        <v>380</v>
      </c>
    </row>
    <row r="16" spans="1:9" ht="25.5" customHeight="1" x14ac:dyDescent="0.25"/>
    <row r="17" spans="1:1" x14ac:dyDescent="0.25">
      <c r="A17" s="13" t="s">
        <v>381</v>
      </c>
    </row>
    <row r="18" spans="1:1" ht="38.25" customHeight="1" x14ac:dyDescent="0.25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7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8" customWidth="1"/>
    <col min="2" max="2" width="26" customWidth="1"/>
    <col min="3" max="3" width="10" customWidth="1"/>
    <col min="4" max="4" width="46" customWidth="1"/>
    <col min="5" max="9" width="9" customWidth="1"/>
    <col min="10" max="11" width="10" customWidth="1"/>
    <col min="12" max="12" width="30" customWidth="1"/>
    <col min="13" max="13" width="50" customWidth="1"/>
  </cols>
  <sheetData>
    <row r="1" spans="1:13" ht="18" customHeight="1" x14ac:dyDescent="0.25">
      <c r="A1" s="18" t="s">
        <v>382</v>
      </c>
    </row>
    <row r="2" spans="1:13" ht="42" customHeight="1" x14ac:dyDescent="0.25">
      <c r="A2" s="34" t="s">
        <v>383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4" spans="1:13" ht="32.1" customHeight="1" x14ac:dyDescent="0.25">
      <c r="A4" s="19" t="s">
        <v>384</v>
      </c>
      <c r="B4" s="19" t="s">
        <v>385</v>
      </c>
      <c r="C4" s="19" t="s">
        <v>386</v>
      </c>
      <c r="D4" s="19" t="s">
        <v>387</v>
      </c>
      <c r="E4" s="19" t="s">
        <v>388</v>
      </c>
      <c r="F4" s="19" t="s">
        <v>389</v>
      </c>
      <c r="G4" s="19" t="s">
        <v>390</v>
      </c>
      <c r="H4" s="19" t="s">
        <v>391</v>
      </c>
      <c r="I4" s="19" t="s">
        <v>392</v>
      </c>
      <c r="J4" s="19" t="s">
        <v>393</v>
      </c>
      <c r="K4" s="19" t="s">
        <v>394</v>
      </c>
      <c r="L4" s="19" t="s">
        <v>395</v>
      </c>
      <c r="M4" s="19" t="s">
        <v>396</v>
      </c>
    </row>
    <row r="5" spans="1:13" ht="25.5" customHeight="1" x14ac:dyDescent="0.25">
      <c r="A5" s="20" t="s">
        <v>397</v>
      </c>
      <c r="B5" s="21" t="s">
        <v>398</v>
      </c>
      <c r="C5" s="21" t="s">
        <v>399</v>
      </c>
      <c r="D5" s="21" t="s">
        <v>400</v>
      </c>
      <c r="E5" s="22">
        <v>70</v>
      </c>
      <c r="F5" s="22">
        <v>1</v>
      </c>
      <c r="G5" s="22">
        <v>7</v>
      </c>
      <c r="H5" s="23">
        <v>0.6</v>
      </c>
      <c r="I5" s="23">
        <v>2</v>
      </c>
      <c r="J5" s="24">
        <f t="shared" ref="J5:J20" si="0">F5*H5</f>
        <v>0.6</v>
      </c>
      <c r="K5" s="24">
        <f t="shared" ref="K5:K20" si="1">G5*I5</f>
        <v>14</v>
      </c>
      <c r="L5" s="21" t="s">
        <v>401</v>
      </c>
      <c r="M5" s="21" t="s">
        <v>402</v>
      </c>
    </row>
    <row r="6" spans="1:13" x14ac:dyDescent="0.25">
      <c r="A6" s="20" t="s">
        <v>397</v>
      </c>
      <c r="B6" s="21" t="s">
        <v>398</v>
      </c>
      <c r="C6" s="21" t="s">
        <v>399</v>
      </c>
      <c r="D6" s="21" t="s">
        <v>403</v>
      </c>
      <c r="E6" s="22">
        <v>10</v>
      </c>
      <c r="F6" s="22">
        <v>10</v>
      </c>
      <c r="G6" s="22">
        <v>10</v>
      </c>
      <c r="H6" s="23">
        <v>0.02</v>
      </c>
      <c r="I6" s="23">
        <v>0.05</v>
      </c>
      <c r="J6" s="24">
        <f t="shared" si="0"/>
        <v>0.2</v>
      </c>
      <c r="K6" s="24">
        <f t="shared" si="1"/>
        <v>0.5</v>
      </c>
      <c r="L6" s="21" t="s">
        <v>404</v>
      </c>
      <c r="M6" s="21" t="s">
        <v>405</v>
      </c>
    </row>
    <row r="7" spans="1:13" x14ac:dyDescent="0.25">
      <c r="A7" s="20" t="s">
        <v>397</v>
      </c>
      <c r="B7" s="21" t="s">
        <v>398</v>
      </c>
      <c r="C7" s="21" t="s">
        <v>406</v>
      </c>
      <c r="D7" s="21" t="s">
        <v>407</v>
      </c>
      <c r="E7" s="22">
        <v>1</v>
      </c>
      <c r="F7" s="22">
        <v>1</v>
      </c>
      <c r="G7" s="22">
        <v>1</v>
      </c>
      <c r="H7" s="23">
        <v>1.5</v>
      </c>
      <c r="I7" s="23">
        <v>3</v>
      </c>
      <c r="J7" s="24">
        <f t="shared" si="0"/>
        <v>1.5</v>
      </c>
      <c r="K7" s="24">
        <f t="shared" si="1"/>
        <v>3</v>
      </c>
      <c r="L7" s="21" t="s">
        <v>408</v>
      </c>
      <c r="M7" s="21" t="s">
        <v>409</v>
      </c>
    </row>
    <row r="8" spans="1:13" x14ac:dyDescent="0.25">
      <c r="A8" s="20" t="s">
        <v>397</v>
      </c>
      <c r="B8" s="21" t="s">
        <v>398</v>
      </c>
      <c r="C8" s="21" t="s">
        <v>406</v>
      </c>
      <c r="D8" s="21" t="s">
        <v>410</v>
      </c>
      <c r="E8" s="22">
        <v>1</v>
      </c>
      <c r="F8" s="22">
        <v>1</v>
      </c>
      <c r="G8" s="22">
        <v>1</v>
      </c>
      <c r="H8" s="23">
        <v>0.4</v>
      </c>
      <c r="I8" s="23">
        <v>0.8</v>
      </c>
      <c r="J8" s="24">
        <f t="shared" si="0"/>
        <v>0.4</v>
      </c>
      <c r="K8" s="24">
        <f t="shared" si="1"/>
        <v>0.8</v>
      </c>
      <c r="L8" s="21" t="s">
        <v>411</v>
      </c>
      <c r="M8" s="21" t="s">
        <v>405</v>
      </c>
    </row>
    <row r="9" spans="1:13" ht="25.5" customHeight="1" x14ac:dyDescent="0.25">
      <c r="A9" s="20" t="s">
        <v>397</v>
      </c>
      <c r="B9" s="21" t="s">
        <v>398</v>
      </c>
      <c r="C9" s="21" t="s">
        <v>406</v>
      </c>
      <c r="D9" s="21" t="s">
        <v>412</v>
      </c>
      <c r="E9" s="22">
        <v>2</v>
      </c>
      <c r="F9" s="22">
        <v>2</v>
      </c>
      <c r="G9" s="22">
        <v>2</v>
      </c>
      <c r="H9" s="23">
        <v>0.3</v>
      </c>
      <c r="I9" s="23">
        <v>0.4</v>
      </c>
      <c r="J9" s="24">
        <f t="shared" si="0"/>
        <v>0.6</v>
      </c>
      <c r="K9" s="24">
        <f t="shared" si="1"/>
        <v>0.8</v>
      </c>
      <c r="L9" s="21" t="s">
        <v>413</v>
      </c>
      <c r="M9" s="21" t="s">
        <v>414</v>
      </c>
    </row>
    <row r="10" spans="1:13" x14ac:dyDescent="0.25">
      <c r="A10" s="25" t="s">
        <v>415</v>
      </c>
      <c r="B10" s="21" t="s">
        <v>416</v>
      </c>
      <c r="C10" s="21" t="s">
        <v>417</v>
      </c>
      <c r="D10" s="21" t="s">
        <v>418</v>
      </c>
      <c r="E10" s="22">
        <v>1</v>
      </c>
      <c r="F10" s="22">
        <v>1</v>
      </c>
      <c r="G10" s="22">
        <v>1</v>
      </c>
      <c r="H10" s="23">
        <v>0.8</v>
      </c>
      <c r="I10" s="23">
        <v>2</v>
      </c>
      <c r="J10" s="24">
        <f t="shared" si="0"/>
        <v>0.8</v>
      </c>
      <c r="K10" s="24">
        <f t="shared" si="1"/>
        <v>2</v>
      </c>
      <c r="L10" s="21" t="s">
        <v>404</v>
      </c>
      <c r="M10" s="21" t="s">
        <v>419</v>
      </c>
    </row>
    <row r="11" spans="1:13" x14ac:dyDescent="0.25">
      <c r="A11" s="25" t="s">
        <v>415</v>
      </c>
      <c r="B11" s="21" t="s">
        <v>416</v>
      </c>
      <c r="C11" s="21" t="s">
        <v>420</v>
      </c>
      <c r="D11" s="21" t="s">
        <v>421</v>
      </c>
      <c r="E11" s="22">
        <v>1</v>
      </c>
      <c r="F11" s="22">
        <v>1</v>
      </c>
      <c r="G11" s="22">
        <v>1</v>
      </c>
      <c r="H11" s="23">
        <v>0.3</v>
      </c>
      <c r="I11" s="23">
        <v>0.4</v>
      </c>
      <c r="J11" s="24">
        <f t="shared" si="0"/>
        <v>0.3</v>
      </c>
      <c r="K11" s="24">
        <f t="shared" si="1"/>
        <v>0.4</v>
      </c>
      <c r="L11" s="21" t="s">
        <v>404</v>
      </c>
      <c r="M11" s="21" t="s">
        <v>405</v>
      </c>
    </row>
    <row r="12" spans="1:13" ht="25.5" x14ac:dyDescent="0.25">
      <c r="A12" s="25" t="s">
        <v>415</v>
      </c>
      <c r="B12" s="21" t="s">
        <v>416</v>
      </c>
      <c r="C12" s="21" t="s">
        <v>420</v>
      </c>
      <c r="D12" s="21" t="s">
        <v>422</v>
      </c>
      <c r="E12" s="22">
        <v>1</v>
      </c>
      <c r="F12" s="22">
        <v>1</v>
      </c>
      <c r="G12" s="22">
        <v>1</v>
      </c>
      <c r="H12" s="23">
        <v>0.3</v>
      </c>
      <c r="I12" s="23">
        <v>1.5</v>
      </c>
      <c r="J12" s="24">
        <f t="shared" si="0"/>
        <v>0.3</v>
      </c>
      <c r="K12" s="24">
        <f t="shared" si="1"/>
        <v>1.5</v>
      </c>
      <c r="L12" s="21" t="s">
        <v>423</v>
      </c>
      <c r="M12" s="21" t="s">
        <v>424</v>
      </c>
    </row>
    <row r="13" spans="1:13" ht="25.5" customHeight="1" x14ac:dyDescent="0.25">
      <c r="A13" s="25" t="s">
        <v>415</v>
      </c>
      <c r="B13" s="21" t="s">
        <v>416</v>
      </c>
      <c r="C13" s="21" t="s">
        <v>420</v>
      </c>
      <c r="D13" s="21" t="s">
        <v>425</v>
      </c>
      <c r="E13" s="22">
        <v>1</v>
      </c>
      <c r="F13" s="22">
        <v>1</v>
      </c>
      <c r="G13" s="22">
        <v>1</v>
      </c>
      <c r="H13" s="23">
        <v>0.2</v>
      </c>
      <c r="I13" s="23">
        <v>0.3</v>
      </c>
      <c r="J13" s="24">
        <f t="shared" si="0"/>
        <v>0.2</v>
      </c>
      <c r="K13" s="24">
        <f t="shared" si="1"/>
        <v>0.3</v>
      </c>
      <c r="L13" s="21" t="s">
        <v>404</v>
      </c>
      <c r="M13" s="21" t="s">
        <v>405</v>
      </c>
    </row>
    <row r="14" spans="1:13" ht="25.5" x14ac:dyDescent="0.25">
      <c r="A14" s="25" t="s">
        <v>415</v>
      </c>
      <c r="B14" s="21" t="s">
        <v>416</v>
      </c>
      <c r="C14" s="21" t="s">
        <v>420</v>
      </c>
      <c r="D14" s="21" t="s">
        <v>426</v>
      </c>
      <c r="E14" s="22">
        <v>3</v>
      </c>
      <c r="F14" s="22">
        <v>1</v>
      </c>
      <c r="G14" s="22">
        <v>3</v>
      </c>
      <c r="H14" s="23">
        <v>1</v>
      </c>
      <c r="I14" s="23">
        <v>1</v>
      </c>
      <c r="J14" s="24">
        <f t="shared" si="0"/>
        <v>1</v>
      </c>
      <c r="K14" s="24">
        <f t="shared" si="1"/>
        <v>3</v>
      </c>
      <c r="L14" s="21" t="s">
        <v>427</v>
      </c>
      <c r="M14" s="21" t="s">
        <v>428</v>
      </c>
    </row>
    <row r="15" spans="1:13" ht="25.5" customHeight="1" x14ac:dyDescent="0.25">
      <c r="A15" s="25" t="s">
        <v>415</v>
      </c>
      <c r="B15" s="21" t="s">
        <v>416</v>
      </c>
      <c r="C15" s="21" t="s">
        <v>429</v>
      </c>
      <c r="D15" s="21" t="s">
        <v>430</v>
      </c>
      <c r="E15" s="22">
        <v>10</v>
      </c>
      <c r="F15" s="22">
        <v>10</v>
      </c>
      <c r="G15" s="22">
        <v>10</v>
      </c>
      <c r="H15" s="23">
        <v>0.15</v>
      </c>
      <c r="I15" s="23">
        <v>0.25</v>
      </c>
      <c r="J15" s="24">
        <f t="shared" si="0"/>
        <v>1.5</v>
      </c>
      <c r="K15" s="24">
        <f t="shared" si="1"/>
        <v>2.5</v>
      </c>
      <c r="L15" s="21" t="s">
        <v>404</v>
      </c>
      <c r="M15" s="21" t="s">
        <v>431</v>
      </c>
    </row>
    <row r="16" spans="1:13" ht="25.5" customHeight="1" x14ac:dyDescent="0.25">
      <c r="A16" s="25" t="s">
        <v>415</v>
      </c>
      <c r="B16" s="21" t="s">
        <v>416</v>
      </c>
      <c r="C16" s="21" t="s">
        <v>432</v>
      </c>
      <c r="D16" s="21" t="s">
        <v>433</v>
      </c>
      <c r="E16" s="22">
        <v>1</v>
      </c>
      <c r="F16" s="22">
        <v>1</v>
      </c>
      <c r="G16" s="22">
        <v>1</v>
      </c>
      <c r="H16" s="23">
        <v>0.3</v>
      </c>
      <c r="I16" s="23">
        <v>0.9</v>
      </c>
      <c r="J16" s="24">
        <f t="shared" si="0"/>
        <v>0.3</v>
      </c>
      <c r="K16" s="24">
        <f t="shared" si="1"/>
        <v>0.9</v>
      </c>
      <c r="L16" s="21" t="s">
        <v>434</v>
      </c>
      <c r="M16" s="21" t="s">
        <v>435</v>
      </c>
    </row>
    <row r="17" spans="1:13" ht="25.5" customHeight="1" x14ac:dyDescent="0.25">
      <c r="A17" s="25" t="s">
        <v>415</v>
      </c>
      <c r="B17" s="21" t="s">
        <v>416</v>
      </c>
      <c r="C17" s="21" t="s">
        <v>432</v>
      </c>
      <c r="D17" s="21" t="s">
        <v>436</v>
      </c>
      <c r="E17" s="22">
        <v>4</v>
      </c>
      <c r="F17" s="22">
        <v>0</v>
      </c>
      <c r="G17" s="22">
        <v>1</v>
      </c>
      <c r="H17" s="23">
        <v>0.6</v>
      </c>
      <c r="I17" s="23">
        <v>0.6</v>
      </c>
      <c r="J17" s="24">
        <f t="shared" si="0"/>
        <v>0</v>
      </c>
      <c r="K17" s="24">
        <f t="shared" si="1"/>
        <v>0.6</v>
      </c>
      <c r="L17" s="21" t="s">
        <v>437</v>
      </c>
      <c r="M17" s="21" t="s">
        <v>438</v>
      </c>
    </row>
    <row r="18" spans="1:13" ht="25.5" customHeight="1" x14ac:dyDescent="0.25">
      <c r="A18" s="25" t="s">
        <v>415</v>
      </c>
      <c r="B18" s="21" t="s">
        <v>416</v>
      </c>
      <c r="C18" s="21" t="s">
        <v>432</v>
      </c>
      <c r="D18" s="21" t="s">
        <v>439</v>
      </c>
      <c r="E18" s="22">
        <v>0</v>
      </c>
      <c r="F18" s="22">
        <v>0</v>
      </c>
      <c r="G18" s="22">
        <v>0</v>
      </c>
      <c r="H18" s="23">
        <v>0</v>
      </c>
      <c r="I18" s="23">
        <v>0</v>
      </c>
      <c r="J18" s="24">
        <f t="shared" si="0"/>
        <v>0</v>
      </c>
      <c r="K18" s="24">
        <f t="shared" si="1"/>
        <v>0</v>
      </c>
      <c r="L18" s="21" t="s">
        <v>440</v>
      </c>
      <c r="M18" s="21" t="s">
        <v>441</v>
      </c>
    </row>
    <row r="19" spans="1:13" ht="25.5" x14ac:dyDescent="0.25">
      <c r="A19" s="26" t="s">
        <v>442</v>
      </c>
      <c r="B19" s="21" t="s">
        <v>443</v>
      </c>
      <c r="C19" s="21" t="s">
        <v>444</v>
      </c>
      <c r="D19" s="21" t="s">
        <v>445</v>
      </c>
      <c r="E19" s="22">
        <v>1</v>
      </c>
      <c r="F19" s="22">
        <v>1</v>
      </c>
      <c r="G19" s="22">
        <v>1</v>
      </c>
      <c r="H19" s="23">
        <v>1.5</v>
      </c>
      <c r="I19" s="23">
        <v>4</v>
      </c>
      <c r="J19" s="24">
        <f t="shared" si="0"/>
        <v>1.5</v>
      </c>
      <c r="K19" s="24">
        <f t="shared" si="1"/>
        <v>4</v>
      </c>
      <c r="L19" s="21" t="s">
        <v>446</v>
      </c>
      <c r="M19" s="21" t="s">
        <v>447</v>
      </c>
    </row>
    <row r="20" spans="1:13" ht="25.5" customHeight="1" x14ac:dyDescent="0.25">
      <c r="A20" s="26" t="s">
        <v>442</v>
      </c>
      <c r="B20" s="21" t="s">
        <v>443</v>
      </c>
      <c r="C20" s="21" t="s">
        <v>448</v>
      </c>
      <c r="D20" s="21" t="s">
        <v>449</v>
      </c>
      <c r="E20" s="22">
        <v>1</v>
      </c>
      <c r="F20" s="22">
        <v>1</v>
      </c>
      <c r="G20" s="22">
        <v>1</v>
      </c>
      <c r="H20" s="23">
        <v>1.5</v>
      </c>
      <c r="I20" s="23">
        <v>4</v>
      </c>
      <c r="J20" s="24">
        <f t="shared" si="0"/>
        <v>1.5</v>
      </c>
      <c r="K20" s="24">
        <f t="shared" si="1"/>
        <v>4</v>
      </c>
      <c r="L20" s="21" t="s">
        <v>450</v>
      </c>
      <c r="M20" s="21" t="s">
        <v>405</v>
      </c>
    </row>
    <row r="21" spans="1:13" ht="25.5" customHeight="1" x14ac:dyDescent="0.25"/>
    <row r="22" spans="1:13" ht="15.75" x14ac:dyDescent="0.25">
      <c r="A22" s="27" t="s">
        <v>451</v>
      </c>
    </row>
    <row r="23" spans="1:13" ht="15.75" customHeight="1" x14ac:dyDescent="0.25">
      <c r="A23" s="19" t="s">
        <v>384</v>
      </c>
      <c r="B23" s="19" t="s">
        <v>385</v>
      </c>
      <c r="C23" s="19" t="s">
        <v>452</v>
      </c>
      <c r="D23" s="19" t="s">
        <v>453</v>
      </c>
      <c r="E23" s="19" t="s">
        <v>454</v>
      </c>
      <c r="F23" s="19" t="s">
        <v>455</v>
      </c>
      <c r="G23" s="19" t="s">
        <v>456</v>
      </c>
      <c r="H23" s="19" t="s">
        <v>457</v>
      </c>
      <c r="I23" s="19" t="s">
        <v>458</v>
      </c>
      <c r="J23" s="19" t="s">
        <v>459</v>
      </c>
      <c r="K23" s="19" t="s">
        <v>460</v>
      </c>
    </row>
    <row r="24" spans="1:13" ht="30" customHeight="1" x14ac:dyDescent="0.25">
      <c r="A24" s="20" t="s">
        <v>397</v>
      </c>
      <c r="B24" s="21" t="s">
        <v>335</v>
      </c>
      <c r="C24" s="22">
        <v>21</v>
      </c>
      <c r="D24" s="22">
        <v>500</v>
      </c>
      <c r="E24" s="28">
        <f>SUMIF($A$5:$A$20,A24,$J$5:$J$20)</f>
        <v>3.3</v>
      </c>
      <c r="F24" s="28">
        <f>SUMIF($A$5:$A$20,A24,$K$5:$K$20)</f>
        <v>19.100000000000001</v>
      </c>
      <c r="G24" s="29">
        <f>IF(C24&gt;0,F24/C24,0)</f>
        <v>0.90952380952380962</v>
      </c>
      <c r="H24" s="30">
        <f>E24*24</f>
        <v>79.199999999999989</v>
      </c>
      <c r="I24" s="30">
        <f>F24*24</f>
        <v>458.40000000000003</v>
      </c>
      <c r="J24" s="21" t="str">
        <f>IF(G24&gt;1,"OVER — resize PSU",IF(G24&gt;0.8,"tight — see note","OK"))</f>
        <v>tight — see note</v>
      </c>
      <c r="K24" s="21" t="s">
        <v>461</v>
      </c>
    </row>
    <row r="25" spans="1:13" ht="204" customHeight="1" x14ac:dyDescent="0.25">
      <c r="A25" s="25" t="s">
        <v>415</v>
      </c>
      <c r="B25" s="21" t="s">
        <v>341</v>
      </c>
      <c r="C25" s="22">
        <v>12.5</v>
      </c>
      <c r="D25" s="22">
        <v>150</v>
      </c>
      <c r="E25" s="28">
        <f>SUMIF($A$5:$A$20,A25,$J$5:$J$20)</f>
        <v>4.3999999999999995</v>
      </c>
      <c r="F25" s="28">
        <f>SUMIF($A$5:$A$20,A25,$K$5:$K$20)</f>
        <v>11.2</v>
      </c>
      <c r="G25" s="29">
        <f>IF(C25&gt;0,F25/C25,0)</f>
        <v>0.89599999999999991</v>
      </c>
      <c r="H25" s="30">
        <f>E25*12</f>
        <v>52.8</v>
      </c>
      <c r="I25" s="30">
        <f>F25*12</f>
        <v>134.39999999999998</v>
      </c>
      <c r="J25" s="21" t="str">
        <f>IF(G25&gt;1,"OVER — resize PSU",IF(G25&gt;0.8,"tight — see note","OK"))</f>
        <v>tight — see note</v>
      </c>
      <c r="K25" s="21" t="s">
        <v>462</v>
      </c>
    </row>
    <row r="26" spans="1:13" ht="242.25" customHeight="1" x14ac:dyDescent="0.25">
      <c r="A26" s="26" t="s">
        <v>442</v>
      </c>
      <c r="B26" s="21" t="s">
        <v>463</v>
      </c>
      <c r="C26" s="22">
        <v>10.4</v>
      </c>
      <c r="D26" s="22">
        <v>500</v>
      </c>
      <c r="E26" s="28">
        <f>SUMIF($A$5:$A$20,A26,$J$5:$J$20)</f>
        <v>3</v>
      </c>
      <c r="F26" s="28">
        <f>SUMIF($A$5:$A$20,A26,$K$5:$K$20)</f>
        <v>8</v>
      </c>
      <c r="G26" s="29">
        <f>IF(C26&gt;0,F26/C26,0)</f>
        <v>0.76923076923076916</v>
      </c>
      <c r="H26" s="30">
        <f>E26*48</f>
        <v>144</v>
      </c>
      <c r="I26" s="30">
        <f>F26*48</f>
        <v>384</v>
      </c>
      <c r="J26" s="21" t="str">
        <f>IF(G26&gt;1,"OVER — resize PSU",IF(G26&gt;0.8,"tight — see note","OK"))</f>
        <v>OK</v>
      </c>
      <c r="K26" s="21" t="s">
        <v>464</v>
      </c>
    </row>
    <row r="27" spans="1:13" ht="76.5" customHeight="1" x14ac:dyDescent="0.25"/>
    <row r="28" spans="1:13" ht="15.75" x14ac:dyDescent="0.25">
      <c r="A28" s="27" t="s">
        <v>465</v>
      </c>
    </row>
    <row r="29" spans="1:13" ht="15.75" customHeight="1" x14ac:dyDescent="0.25">
      <c r="A29" s="36" t="s">
        <v>466</v>
      </c>
      <c r="B29" s="35"/>
      <c r="C29" s="35"/>
      <c r="D29" s="31">
        <v>0.88</v>
      </c>
    </row>
    <row r="30" spans="1:13" x14ac:dyDescent="0.25">
      <c r="A30" s="36" t="s">
        <v>467</v>
      </c>
      <c r="B30" s="35"/>
      <c r="C30" s="35"/>
      <c r="D30" s="32">
        <f>(H24+H25+H26)/D29</f>
        <v>313.63636363636363</v>
      </c>
    </row>
    <row r="31" spans="1:13" x14ac:dyDescent="0.25">
      <c r="A31" s="36" t="s">
        <v>468</v>
      </c>
      <c r="B31" s="35"/>
      <c r="C31" s="35"/>
      <c r="D31" s="32">
        <f>(I24+I25+I26)/D29</f>
        <v>1110</v>
      </c>
    </row>
    <row r="32" spans="1:13" x14ac:dyDescent="0.25">
      <c r="A32" s="36" t="s">
        <v>469</v>
      </c>
      <c r="B32" s="35"/>
      <c r="C32" s="35"/>
      <c r="D32" s="33">
        <f>D31/120</f>
        <v>9.25</v>
      </c>
    </row>
    <row r="33" spans="1:13" x14ac:dyDescent="0.25">
      <c r="A33" s="36" t="s">
        <v>470</v>
      </c>
      <c r="B33" s="35"/>
      <c r="C33" s="35"/>
      <c r="D33" s="33">
        <f>D31/230</f>
        <v>4.8260869565217392</v>
      </c>
    </row>
    <row r="34" spans="1:13" x14ac:dyDescent="0.25">
      <c r="A34" s="36" t="s">
        <v>471</v>
      </c>
      <c r="B34" s="35"/>
      <c r="C34" s="35"/>
      <c r="D34" s="3" t="s">
        <v>472</v>
      </c>
    </row>
    <row r="36" spans="1:13" x14ac:dyDescent="0.25">
      <c r="A36" s="34" t="s">
        <v>473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</row>
    <row r="37" spans="1:13" ht="30" customHeight="1" x14ac:dyDescent="0.25"/>
  </sheetData>
  <mergeCells count="8">
    <mergeCell ref="A29:C29"/>
    <mergeCell ref="A2:M2"/>
    <mergeCell ref="A36:M36"/>
    <mergeCell ref="A33:C33"/>
    <mergeCell ref="A32:C32"/>
    <mergeCell ref="A31:C31"/>
    <mergeCell ref="A30:C30"/>
    <mergeCell ref="A34:C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10" customWidth="1"/>
    <col min="2" max="2" width="8" customWidth="1"/>
    <col min="3" max="3" width="40" customWidth="1"/>
    <col min="4" max="4" width="12" customWidth="1"/>
    <col min="5" max="5" width="16" customWidth="1"/>
  </cols>
  <sheetData>
    <row r="1" spans="1:5" ht="18" customHeight="1" x14ac:dyDescent="0.25">
      <c r="A1" s="1" t="s">
        <v>474</v>
      </c>
    </row>
    <row r="2" spans="1:5" x14ac:dyDescent="0.25">
      <c r="A2" s="2" t="s">
        <v>475</v>
      </c>
    </row>
    <row r="4" spans="1:5" ht="30" customHeight="1" x14ac:dyDescent="0.25">
      <c r="A4" s="5" t="s">
        <v>386</v>
      </c>
      <c r="B4" s="5" t="s">
        <v>384</v>
      </c>
      <c r="C4" s="5" t="s">
        <v>387</v>
      </c>
      <c r="D4" s="5" t="s">
        <v>476</v>
      </c>
      <c r="E4" s="5" t="s">
        <v>135</v>
      </c>
    </row>
    <row r="5" spans="1:5" x14ac:dyDescent="0.25">
      <c r="A5" s="6" t="s">
        <v>399</v>
      </c>
      <c r="B5" s="6" t="s">
        <v>397</v>
      </c>
      <c r="C5" s="6" t="s">
        <v>477</v>
      </c>
      <c r="D5" s="6">
        <v>5</v>
      </c>
      <c r="E5" s="6" t="s">
        <v>478</v>
      </c>
    </row>
    <row r="6" spans="1:5" x14ac:dyDescent="0.25">
      <c r="A6" s="6" t="s">
        <v>406</v>
      </c>
      <c r="B6" s="6" t="s">
        <v>397</v>
      </c>
      <c r="C6" s="6" t="s">
        <v>479</v>
      </c>
      <c r="D6" s="6">
        <v>6</v>
      </c>
      <c r="E6" s="6" t="s">
        <v>172</v>
      </c>
    </row>
    <row r="7" spans="1:5" x14ac:dyDescent="0.25">
      <c r="A7" s="6" t="s">
        <v>420</v>
      </c>
      <c r="B7" s="6" t="s">
        <v>415</v>
      </c>
      <c r="C7" s="6" t="s">
        <v>480</v>
      </c>
      <c r="D7" s="6">
        <v>8</v>
      </c>
      <c r="E7" s="6" t="s">
        <v>177</v>
      </c>
    </row>
    <row r="8" spans="1:5" x14ac:dyDescent="0.25">
      <c r="A8" s="6" t="s">
        <v>417</v>
      </c>
      <c r="B8" s="6" t="s">
        <v>415</v>
      </c>
      <c r="C8" s="6" t="s">
        <v>113</v>
      </c>
      <c r="D8" s="6">
        <v>3</v>
      </c>
      <c r="E8" s="6" t="s">
        <v>167</v>
      </c>
    </row>
    <row r="9" spans="1:5" x14ac:dyDescent="0.25">
      <c r="A9" s="6" t="s">
        <v>429</v>
      </c>
      <c r="B9" s="6" t="s">
        <v>415</v>
      </c>
      <c r="C9" s="6" t="s">
        <v>481</v>
      </c>
      <c r="D9" s="6">
        <v>3</v>
      </c>
      <c r="E9" s="6" t="s">
        <v>482</v>
      </c>
    </row>
    <row r="10" spans="1:5" x14ac:dyDescent="0.25">
      <c r="A10" s="6" t="s">
        <v>444</v>
      </c>
      <c r="B10" s="6" t="s">
        <v>442</v>
      </c>
      <c r="C10" s="6" t="s">
        <v>483</v>
      </c>
      <c r="D10" s="6">
        <v>5</v>
      </c>
      <c r="E10" s="6" t="s">
        <v>180</v>
      </c>
    </row>
    <row r="11" spans="1:5" x14ac:dyDescent="0.25">
      <c r="A11" s="6" t="s">
        <v>448</v>
      </c>
      <c r="B11" s="6" t="s">
        <v>442</v>
      </c>
      <c r="C11" s="6" t="s">
        <v>484</v>
      </c>
      <c r="D11" s="6">
        <v>5</v>
      </c>
      <c r="E11" s="6" t="s">
        <v>185</v>
      </c>
    </row>
    <row r="12" spans="1:5" x14ac:dyDescent="0.25">
      <c r="A12" s="14" t="s">
        <v>432</v>
      </c>
      <c r="B12" s="14" t="s">
        <v>415</v>
      </c>
      <c r="C12" s="14" t="s">
        <v>485</v>
      </c>
      <c r="D12" s="14">
        <v>3</v>
      </c>
      <c r="E12" s="14" t="s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Connectors</vt:lpstr>
      <vt:lpstr>Cables</vt:lpstr>
      <vt:lpstr>PCBs</vt:lpstr>
      <vt:lpstr>Power</vt:lpstr>
      <vt:lpstr>Fuses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Umit Kayacik</cp:lastModifiedBy>
  <dcterms:created xsi:type="dcterms:W3CDTF">2026-09-10T20:57:43Z</dcterms:created>
  <dcterms:modified xsi:type="dcterms:W3CDTF">2026-09-11T14:37:22Z</dcterms:modified>
</cp:coreProperties>
</file>