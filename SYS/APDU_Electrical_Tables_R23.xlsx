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5055ca54bb40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14dded392394cf9"/>
    <x:sheet xmlns:r="http://schemas.openxmlformats.org/officeDocument/2006/relationships" name="Connectors" sheetId="2" r:id="Rdb2c5e36f9a14198"/>
    <x:sheet xmlns:r="http://schemas.openxmlformats.org/officeDocument/2006/relationships" name="Cables" sheetId="3" r:id="R07895848c6d3407f"/>
    <x:sheet xmlns:r="http://schemas.openxmlformats.org/officeDocument/2006/relationships" name="PCBs" sheetId="4" r:id="R98f913604bcf4699"/>
    <x:sheet xmlns:r="http://schemas.openxmlformats.org/officeDocument/2006/relationships" name="Power" sheetId="5" r:id="Rfc7aeed6dd8a4ba4"/>
    <x:sheet xmlns:r="http://schemas.openxmlformats.org/officeDocument/2006/relationships" name="Fuses" sheetId="6" r:id="R5686b971d9084407"/>
  </x:sheets>
</x:workbook>
</file>

<file path=xl/sharedStrings.xml><?xml version="1.0" encoding="utf-8"?>
<x:sst xmlns:x="http://schemas.openxmlformats.org/spreadsheetml/2006/main">
  <x:si>
    <x:t xml:space="preserve">APDU / AVM electrical tables</x:t>
  </x:si>
  <x:si>
    <x:t xml:space="preserve">Adherent360 · Blackocean Technologies · companion to Electrical_System_Level_Wiring_Diagram_R23.drawio · 2026-09-11</x:t>
  </x:si>
  <x:si>
    <x:t xml:space="preserve">Sheets</x:t>
  </x:si>
  <x:si>
    <x:t xml:space="preserve">Connectors — every board-side connector with candidate MPNs (Molex Micro-Fit 3.0 standard on all PCB I/O).</x:t>
  </x:si>
  <x:si>
    <x:t xml:space="preserve">Cables — W01…W34, names WR_ADHERENT_AAA_TO_BBB_R1, cable type, ends, quantity, estimated length. Totals are formulas.</x:t>
  </x:si>
  <x:si>
    <x:t xml:space="preserve">Power — every load per rail (24 V motor, 12 V logic, 48 V drives): fuse, how many units run at once, typical and peak current, rail totals against PSU rating, AC input estimate. Blue cells are estimates to replace with measured values.</x:t>
  </x:si>
  <x:si>
    <x:t xml:space="preserve">Fuses — DIN fuse block schedule F1–F17.</x:t>
  </x:si>
  <x:si>
    <x:t xml:space="preserve">Conventions</x:t>
  </x:si>
  <x:si>
    <x:t xml:space="preserve">Naming: HW_ADHERENT_XXX_RY (PCB), FW_ADHERENT_XXX_RY (firmware), WR_ADHERENT_AAA_TO_BBB_RY (cable).</x:t>
  </x:si>
  <x:si>
    <x:t xml:space="preserve">Default cable: 4-conductor 22 AWG red-black-yellow-green, Micro-Fit 3.0 crimp + housing at board ends; hex ferrule + WAGO 221 in junction boxes JB-GANTRY / JB-DOORS. Exceptions are marked in the Cable column.</x:t>
  </x:si>
  <x:si>
    <x:t xml:space="preserve">Lengths are routing estimates from the CAD envelope (855 W × 890 D × 1905 H mm, column 1650 mm) plus 20 % service loop; confirm on harness drawings.</x:t>
  </x:si>
  <x:si>
    <x:t xml:space="preserve">MPNs are Rev A candidates; confirm at BOM v1. Cells marked TBC wait for supplier data (Emtech drive datasheet, conveyor terminal pitch, conveyor signal type and stall current).</x:t>
  </x:si>
  <x:si>
    <x:t xml:space="preserve">Blue cells are inputs you may edit (quantities, lengths); black cells with formulas recalculate.</x:t>
  </x:si>
  <x:si>
    <x:t xml:space="preserve">Connector list</x:t>
  </x:si>
  <x:si>
    <x:t xml:space="preserve">Board-side and mating connectors · Molex Micro-Fit 3.0 on every PCB input / output · panel parts, DIN terminals and SWD are the exceptions</x:t>
  </x:si>
  <x:si>
    <x:t xml:space="preserve">Ref</x:t>
  </x:si>
  <x:si>
    <x:t xml:space="preserve">Interface</x:t>
  </x:si>
  <x:si>
    <x:t xml:space="preserve">Board / location</x:t>
  </x:si>
  <x:si>
    <x:t xml:space="preserve">Connector</x:t>
  </x:si>
  <x:si>
    <x:t xml:space="preserve">Board-side MPN</x:t>
  </x:si>
  <x:si>
    <x:t xml:space="preserve">Mating / cable-side MPN</x:t>
  </x:si>
  <x:si>
    <x:t xml:space="preserve">J1</x:t>
  </x:si>
  <x:si>
    <x:t xml:space="preserve">AC mains inlet · filter · switch · fuse</x:t>
  </x:si>
  <x:si>
    <x:t xml:space="preserve">rear panel</x:t>
  </x:si>
  <x:si>
    <x:t xml:space="preserve">IEC C14 power entry module</x:t>
  </x:si>
  <x:si>
    <x:t xml:space="preserve">Schaffner FN9264-6-06</x:t>
  </x:si>
  <x:si>
    <x:t xml:space="preserve">IEC C13 cord set</x:t>
  </x:si>
  <x:si>
    <x:t xml:space="preserve">J2</x:t>
  </x:si>
  <x:si>
    <x:t xml:space="preserve">Ethernet · hard-wired LAN</x:t>
  </x:si>
  <x:si>
    <x:t xml:space="preserve">Cat5e / Cat6 patch cord</x:t>
  </x:si>
  <x:si>
    <x:t xml:space="preserve">J3</x:t>
  </x:si>
  <x:si>
    <x:t xml:space="preserve">Wi-Fi / BT antenna</x:t>
  </x:si>
  <x:si>
    <x:t xml:space="preserve">RP-SMA bulkhead + 2.4 / 5 GHz dipole</x:t>
  </x:si>
  <x:si>
    <x:t xml:space="preserve">Taoglas TG.30.8113 (antenna)</x:t>
  </x:si>
  <x:si>
    <x:t xml:space="preserve">U.FL → RP-SMA bulkhead pigtail, 150 mm (from the USB Wi-Fi / BT module, optional)</x:t>
  </x:si>
  <x:si>
    <x:t xml:space="preserve">F1–F17</x:t>
  </x:si>
  <x:si>
    <x:t xml:space="preserve">24 V + 12 V + 48 V feeders</x:t>
  </x:si>
  <x:si>
    <x:t xml:space="preserve">DIN rail, cabinet</x:t>
  </x:si>
  <x:si>
    <x:t xml:space="preserve">Fuse terminal block 5×20</x:t>
  </x:si>
  <x:si>
    <x:t xml:space="preserve">Phoenix Contact UT 4-HESI (5X20) · 3046032</x:t>
  </x:si>
  <x:si>
    <x:t xml:space="preserve">5×20 fuses per fuse schedule</x:t>
  </x:si>
  <x:si>
    <x:t xml:space="preserve">J47 / J48</x:t>
  </x:si>
  <x:si>
    <x:t xml:space="preserve">48 V + control at X / Z drive unit</x:t>
  </x:si>
  <x:si>
    <x:t xml:space="preserve">Emtech integrated drive (motor side)</x:t>
  </x:si>
  <x:si>
    <x:t xml:space="preserve">manufacturer connector — TBC from datasheet</x:t>
  </x:si>
  <x:si>
    <x:t xml:space="preserve">–</x:t>
  </x:si>
  <x:si>
    <x:t xml:space="preserve">W29 / W30 power, W11 / W12 control</x:t>
  </x:si>
  <x:si>
    <x:t xml:space="preserve">J5</x:t>
  </x:si>
  <x:si>
    <x:t xml:space="preserve">24 V motor feeder in (2 + 2 paralleled)</x:t>
  </x:si>
  <x:si>
    <x:t xml:space="preserve">LANECTRL ×10</x:t>
  </x:si>
  <x:si>
    <x:t xml:space="preserve">Micro-Fit 3.0 4-pin dual row</x:t>
  </x:si>
  <x:si>
    <x:t xml:space="preserve">Molex 43045-0400</x:t>
  </x:si>
  <x:si>
    <x:t xml:space="preserve">Molex 43025-0400 + 43030-0007 crimp</x:t>
  </x:si>
  <x:si>
    <x:t xml:space="preserve">J6 / J7</x:t>
  </x:si>
  <x:si>
    <x:t xml:space="preserve">CAN + 12 V bus in / out (CAN_H, CAN_L, 12 V, GND, shield)</x:t>
  </x:si>
  <x:si>
    <x:t xml:space="preserve">Micro-Fit 3.0 5-pin single row</x:t>
  </x:si>
  <x:si>
    <x:t xml:space="preserve">Molex 43650-0500</x:t>
  </x:si>
  <x:si>
    <x:t xml:space="preserve">Molex 43645-0500 + 43030-0007 crimp</x:t>
  </x:si>
  <x:si>
    <x:t xml:space="preserve">SW1–7 / D1–7</x:t>
  </x:si>
  <x:si>
    <x:t xml:space="preserve">Lane power button + status LED</x:t>
  </x:si>
  <x:si>
    <x:t xml:space="preserve">LANECTRL ×10 (front edge of the board, behind the lane bezel)</x:t>
  </x:si>
  <x:si>
    <x:t xml:space="preserve">12 mm tactile pushbutton + 5 mm LED</x:t>
  </x:si>
  <x:si>
    <x:t xml:space="preserve">Omron B3F-4055 · Kingbright WP7113ID</x:t>
  </x:si>
  <x:si>
    <x:t xml:space="preserve">– (PCB-mounted on LANECTRL)</x:t>
  </x:si>
  <x:si>
    <x:t xml:space="preserve">J8–J14</x:t>
  </x:si>
  <x:si>
    <x:t xml:space="preserve">Conveyor lanes 1–7 · motor +/−, feedback</x:t>
  </x:si>
  <x:si>
    <x:t xml:space="preserve">Micro-Fit 3.0 3-pin single row, 5 A/pin</x:t>
  </x:si>
  <x:si>
    <x:t xml:space="preserve">Molex 43650-0300</x:t>
  </x:si>
  <x:si>
    <x:t xml:space="preserve">Molex 43645-0300 + 43030-0007 · conveyor side: ferrules into its 3-pos pluggable screw terminal (pitch TBC)</x:t>
  </x:si>
  <x:si>
    <x:t xml:space="preserve">J15 / J15A</x:t>
  </x:si>
  <x:si>
    <x:t xml:space="preserve">CAN in (from MAINCTRL) / CAN + 12 V out (to lane rows)</x:t>
  </x:si>
  <x:si>
    <x:t xml:space="preserve">SYSCTRL</x:t>
  </x:si>
  <x:si>
    <x:t xml:space="preserve">Micro-Fit 3.0 4-pin dual / 5-pin single row</x:t>
  </x:si>
  <x:si>
    <x:t xml:space="preserve">Molex 43045-0400 / 43650-0500</x:t>
  </x:si>
  <x:si>
    <x:t xml:space="preserve">Molex 43025-0400 / 43645-0500 + 43030-0007</x:t>
  </x:si>
  <x:si>
    <x:t xml:space="preserve">J16 / J17</x:t>
  </x:si>
  <x:si>
    <x:t xml:space="preserve">X / Z closed-loop drive control · PUL±, DIR±, ENA±, ALM±, brake +/−</x:t>
  </x:si>
  <x:si>
    <x:t xml:space="preserve">Micro-Fit 3.0 10-pin dual row</x:t>
  </x:si>
  <x:si>
    <x:t xml:space="preserve">Molex 43045-1000</x:t>
  </x:si>
  <x:si>
    <x:t xml:space="preserve">Molex 43025-1000 + 43030-0007 crimp · drive-side mate TBC (Emtech)</x:t>
  </x:si>
  <x:si>
    <x:t xml:space="preserve">J18 / J19</x:t>
  </x:si>
  <x:si>
    <x:t xml:space="preserve">Steppers · chuck rotate, chuck jaws</x:t>
  </x:si>
  <x:si>
    <x:t xml:space="preserve">Micro-Fit 3.0 4-pin, 5 A</x:t>
  </x:si>
  <x:si>
    <x:t xml:space="preserve">J20</x:t>
  </x:si>
  <x:si>
    <x:t xml:space="preserve">Basket tilt servo · PWM + 6 V</x:t>
  </x:si>
  <x:si>
    <x:t xml:space="preserve">SYSCTRL → Z carriage</x:t>
  </x:si>
  <x:si>
    <x:t xml:space="preserve">Micro-Fit 3.0 3-pin single row</x:t>
  </x:si>
  <x:si>
    <x:t xml:space="preserve">Molex 43645-0300 + 43030-0007 crimp</x:t>
  </x:si>
  <x:si>
    <x:t xml:space="preserve">J21–J27</x:t>
  </x:si>
  <x:si>
    <x:t xml:space="preserve">Opto sensors ×7 (6 gantry + jaw home)</x:t>
  </x:si>
  <x:si>
    <x:t xml:space="preserve">Molex 43645-0300 + 43030-0007 · sensor side: Omron EE-1001 lead re-terminated</x:t>
  </x:si>
  <x:si>
    <x:t xml:space="preserve">J29</x:t>
  </x:si>
  <x:si>
    <x:t xml:space="preserve">24 V motor supply in (F11)</x:t>
  </x:si>
  <x:si>
    <x:t xml:space="preserve">Micro-Fit 3.0 4-pin dual row (2 × 24 V, 2 × GND paralleled, 10 A)</x:t>
  </x:si>
  <x:si>
    <x:t xml:space="preserve">Molex 43025-0400 + 43030-0007</x:t>
  </x:si>
  <x:si>
    <x:t xml:space="preserve">J30–J33</x:t>
  </x:si>
  <x:si>
    <x:t xml:space="preserve">screw terminals on the Waveshare module</x:t>
  </x:si>
  <x:si>
    <x:t xml:space="preserve">ferrule</x:t>
  </x:si>
  <x:si>
    <x:t xml:space="preserve">latch / sensor side: Micro-Fit 2-pin 43045-0200 / 43025-0200</x:t>
  </x:si>
  <x:si>
    <x:t xml:space="preserve">J35–J39</x:t>
  </x:si>
  <x:si>
    <x:t xml:space="preserve">ferrule + WAGO 221 in JB-DOORS</x:t>
  </x:si>
  <x:si>
    <x:t xml:space="preserve">J41</x:t>
  </x:si>
  <x:si>
    <x:t xml:space="preserve">12 V in · F12 logic rail + F14 lane-bus rail</x:t>
  </x:si>
  <x:si>
    <x:t xml:space="preserve">Micro-Fit 3.0 4-pin dual row · pin 1 = 12 V F12, pin 2 = 12 V F14, pins 3–4 = GND</x:t>
  </x:si>
  <x:si>
    <x:t xml:space="preserve">J46</x:t>
  </x:si>
  <x:si>
    <x:t xml:space="preserve">12 V in (F13) · on-board 5 V buck</x:t>
  </x:si>
  <x:si>
    <x:t xml:space="preserve">MAINCTRL</x:t>
  </x:si>
  <x:si>
    <x:t xml:space="preserve">MYIR-supplied 12 V power plug on the board DC input</x:t>
  </x:si>
  <x:si>
    <x:t xml:space="preserve">Molex 43045-0200</x:t>
  </x:si>
  <x:si>
    <x:t xml:space="preserve">Molex 43025-0200 + 43030-0007</x:t>
  </x:si>
  <x:si>
    <x:t xml:space="preserve">J42</x:t>
  </x:si>
  <x:si>
    <x:t xml:space="preserve">CAN master interface</x:t>
  </x:si>
  <x:si>
    <x:t xml:space="preserve">on-board CAN FD of the MYD-YF13X (connector type TBC from board manual)</x:t>
  </x:si>
  <x:si>
    <x:t xml:space="preserve">pigtail → Micro-Fit 3.0 4-pin to bus · 120 Ω term. here</x:t>
  </x:si>
  <x:si>
    <x:t xml:space="preserve">SWD</x:t>
  </x:si>
  <x:si>
    <x:t xml:space="preserve">Debug / programming</x:t>
  </x:si>
  <x:si>
    <x:t xml:space="preserve">LANECTRL · SYSCTRL</x:t>
  </x:si>
  <x:si>
    <x:t xml:space="preserve">ARM 10-pin 1.27 mm</x:t>
  </x:si>
  <x:si>
    <x:t xml:space="preserve">Samtec FTSH-105-01-L-DV-K</x:t>
  </x:si>
  <x:si>
    <x:t xml:space="preserve">ST-LINK 10-pin ribbon</x:t>
  </x:si>
  <x:si>
    <x:t xml:space="preserve">J49</x:t>
  </x:si>
  <x:si>
    <x:t xml:space="preserve">RS485 in (Modbus RTU from MAINCTRL) + 12 V in</x:t>
  </x:si>
  <x:si>
    <x:t xml:space="preserve">W33, W34</x:t>
  </x:si>
  <x:si>
    <x:t xml:space="preserve">Cable list</x:t>
  </x:si>
  <x:si>
    <x:t xml:space="preserve">WR_ADHERENT_AAA_TO_BBB_R1 · lengths estimated from the CAD envelope · edit blue cells, totals recalculate</x:t>
  </x:si>
  <x:si>
    <x:t xml:space="preserve">W#</x:t>
  </x:si>
  <x:si>
    <x:t xml:space="preserve">Cable name</x:t>
  </x:si>
  <x:si>
    <x:t xml:space="preserve">From → To</x:t>
  </x:si>
  <x:si>
    <x:t xml:space="preserve">Cable</x:t>
  </x:si>
  <x:si>
    <x:t xml:space="preserve">Ends</x:t>
  </x:si>
  <x:si>
    <x:t xml:space="preserve">Qty</x:t>
  </x:si>
  <x:si>
    <x:t xml:space="preserve">Length ea. (m)</x:t>
  </x:si>
  <x:si>
    <x:t xml:space="preserve">Total (m)</x:t>
  </x:si>
  <x:si>
    <x:t xml:space="preserve">4c cables per run</x:t>
  </x:si>
  <x:si>
    <x:t xml:space="preserve">4c 22 AWG stock (m, +20 %)</x:t>
  </x:si>
  <x:si>
    <x:t xml:space="preserve">W01</x:t>
  </x:si>
  <x:si>
    <x:t xml:space="preserve">WR_ADHERENT_ACIN_TO_PSU24_R1</x:t>
  </x:si>
  <x:si>
    <x:t xml:space="preserve">AC inlet → PSU1</x:t>
  </x:si>
  <x:si>
    <x:t xml:space="preserve">3 × 18 AWG L / N / PE (exception)</x:t>
  </x:si>
  <x:si>
    <x:t xml:space="preserve">ferrule → faston / screw</x:t>
  </x:si>
  <x:si>
    <x:t xml:space="preserve">W02</x:t>
  </x:si>
  <x:si>
    <x:t xml:space="preserve">WR_ADHERENT_ACIN_TO_PSU12_R1</x:t>
  </x:si>
  <x:si>
    <x:t xml:space="preserve">AC inlet → PSU2</x:t>
  </x:si>
  <x:si>
    <x:t xml:space="preserve">W31</x:t>
  </x:si>
  <x:si>
    <x:t xml:space="preserve">WR_ADHERENT_ACIN_TO_PSU48_R1</x:t>
  </x:si>
  <x:si>
    <x:t xml:space="preserve">AC inlet → PSU3 (48 V)</x:t>
  </x:si>
  <x:si>
    <x:t xml:space="preserve">ferrule → screw terminal</x:t>
  </x:si>
  <x:si>
    <x:t xml:space="preserve">W03</x:t>
  </x:si>
  <x:si>
    <x:t xml:space="preserve">WR_ADHERENT_PSU24_TO_DIST_R1</x:t>
  </x:si>
  <x:si>
    <x:t xml:space="preserve">PSU1 → DIN fuse block</x:t>
  </x:si>
  <x:si>
    <x:t xml:space="preserve">2 × 14 AWG red / black, 20 A (exception)</x:t>
  </x:si>
  <x:si>
    <x:t xml:space="preserve">ferrule both ends</x:t>
  </x:si>
  <x:si>
    <x:t xml:space="preserve">W04</x:t>
  </x:si>
  <x:si>
    <x:t xml:space="preserve">WR_ADHERENT_PSU12_TO_DIST_R1</x:t>
  </x:si>
  <x:si>
    <x:t xml:space="preserve">PSU2 → DIN fuse block</x:t>
  </x:si>
  <x:si>
    <x:t xml:space="preserve">2 × 16 AWG red / black, 12 A (exception)</x:t>
  </x:si>
  <x:si>
    <x:t xml:space="preserve">W32</x:t>
  </x:si>
  <x:si>
    <x:t xml:space="preserve">WR_ADHERENT_PSU48_TO_DIST_R1</x:t>
  </x:si>
  <x:si>
    <x:t xml:space="preserve">PSU3 → DIN fuse block</x:t>
  </x:si>
  <x:si>
    <x:t xml:space="preserve">2 × 16 AWG red / black, 10 A (exception)</x:t>
  </x:si>
  <x:si>
    <x:t xml:space="preserve">W05</x:t>
  </x:si>
  <x:si>
    <x:t xml:space="preserve">WR_ADHERENT_DIST_TO_MAINCTRL_R1</x:t>
  </x:si>
  <x:si>
    <x:t xml:space="preserve">F13 → MAINCTRL J46</x:t>
  </x:si>
  <x:si>
    <x:t xml:space="preserve">4c 22 AWG R-B-Y-G · R+Y = 12 V, B+G = GND</x:t>
  </x:si>
  <x:si>
    <x:t xml:space="preserve">ferrule → MYIR 12 V power plug (board DC input)</x:t>
  </x:si>
  <x:si>
    <x:t xml:space="preserve">W06</x:t>
  </x:si>
  <x:si>
    <x:t xml:space="preserve">WR_ADHERENT_DIST_TO_SYSCTRL_24V_R1</x:t>
  </x:si>
  <x:si>
    <x:t xml:space="preserve">F11 → SYSCTRL J29 (chuck steppers)</x:t>
  </x:si>
  <x:si>
    <x:t xml:space="preserve">4c 22 AWG R-B-Y-G · R+Y = 24 V, B+G = GND (6 A)</x:t>
  </x:si>
  <x:si>
    <x:t xml:space="preserve">ferrule → Micro-Fit 4-pin (2 + 2)</x:t>
  </x:si>
  <x:si>
    <x:t xml:space="preserve">W07</x:t>
  </x:si>
  <x:si>
    <x:t xml:space="preserve">WR_ADHERENT_DIST_TO_SYSCTRL_12V_R1</x:t>
  </x:si>
  <x:si>
    <x:t xml:space="preserve">F12 + F14 → SYSCTRL J41</x:t>
  </x:si>
  <x:si>
    <x:t xml:space="preserve">4c 22 AWG R-B-Y-G · R = 12 V F12 (logic), Y = 12 V F14 (lane bus), B+G = GND</x:t>
  </x:si>
  <x:si>
    <x:t xml:space="preserve">ferrule ×2 (fuse block) → Micro-Fit 4-pin</x:t>
  </x:si>
  <x:si>
    <x:t xml:space="preserve">W29</x:t>
  </x:si>
  <x:si>
    <x:t xml:space="preserve">WR_ADHERENT_DIST_TO_XDRIVE_48V_R1</x:t>
  </x:si>
  <x:si>
    <x:t xml:space="preserve">F15 → X drive unit power</x:t>
  </x:si>
  <x:si>
    <x:t xml:space="preserve">2 × 16 AWG red / black, 48 V 5 A (exception)</x:t>
  </x:si>
  <x:si>
    <x:t xml:space="preserve">ferrule → drive terminal (TBC)</x:t>
  </x:si>
  <x:si>
    <x:t xml:space="preserve">W30</x:t>
  </x:si>
  <x:si>
    <x:t xml:space="preserve">WR_ADHERENT_DIST_TO_ZDRIVE_48V_R1</x:t>
  </x:si>
  <x:si>
    <x:t xml:space="preserve">F16 → Z drive unit power (via X chain)</x:t>
  </x:si>
  <x:si>
    <x:t xml:space="preserve">2 × 16 AWG red / black, 48 V 5 A, flex (exception)</x:t>
  </x:si>
  <x:si>
    <x:t xml:space="preserve">W08</x:t>
  </x:si>
  <x:si>
    <x:t xml:space="preserve">WR_ADHERENT_MAINCTRL_TO_SYSCTRL_R1</x:t>
  </x:si>
  <x:si>
    <x:t xml:space="preserve">MAINCTRL on-board CAN FD → SYSCTRL J15</x:t>
  </x:si>
  <x:si>
    <x:t xml:space="preserve">4c 22 AWG R-B-Y-G shielded · Y = CAN_H, G = CAN_L, B = GND, R = n/c</x:t>
  </x:si>
  <x:si>
    <x:t xml:space="preserve">board CAN header (TBC) ↔ Micro-Fit 4</x:t>
  </x:si>
  <x:si>
    <x:t xml:space="preserve">W09</x:t>
  </x:si>
  <x:si>
    <x:t xml:space="preserve">WR_ADHERENT_MAINCTRL_TO_RJ45_R1</x:t>
  </x:si>
  <x:si>
    <x:t xml:space="preserve">Cat6 patch (exception)</x:t>
  </x:si>
  <x:si>
    <x:t xml:space="preserve">RJ45 ↔ RJ45</x:t>
  </x:si>
  <x:si>
    <x:t xml:space="preserve">W10</x:t>
  </x:si>
  <x:si>
    <x:t xml:space="preserve">WR_ADHERENT_MAINCTRL_TO_ANT_R1</x:t>
  </x:si>
  <x:si>
    <x:t xml:space="preserve">USB Wi-Fi / BT module on MAINCTRL → RP-SMA bulkhead (optional)</x:t>
  </x:si>
  <x:si>
    <x:t xml:space="preserve">coax pigtail (exception)</x:t>
  </x:si>
  <x:si>
    <x:t xml:space="preserve">U.FL ↔ RP-SMA</x:t>
  </x:si>
  <x:si>
    <x:t xml:space="preserve">W11</x:t>
  </x:si>
  <x:si>
    <x:t xml:space="preserve">WR_ADHERENT_SYSCTRL_TO_XDRIVE_R1</x:t>
  </x:si>
  <x:si>
    <x:t xml:space="preserve">SYSCTRL J16 → X drive control</x:t>
  </x:si>
  <x:si>
    <x:t xml:space="preserve">3 × 4c 22 AWG R-B-Y-G loom: (PUL+ PUL− DIR+ DIR−) (ENA+ ENA− ALM+ ALM−) (brake 24 V R/B, Y/G spare)</x:t>
  </x:si>
  <x:si>
    <x:t xml:space="preserve">Micro-Fit 10 → drive connector (TBC)</x:t>
  </x:si>
  <x:si>
    <x:t xml:space="preserve">W12</x:t>
  </x:si>
  <x:si>
    <x:t xml:space="preserve">WR_ADHERENT_SYSCTRL_TO_ZDRIVE_R1</x:t>
  </x:si>
  <x:si>
    <x:t xml:space="preserve">SYSCTRL J17 → Z drive control (via X chain)</x:t>
  </x:si>
  <x:si>
    <x:t xml:space="preserve">3 × 4c 22 AWG R-B-Y-G loom, flex, same pin-out as W11</x:t>
  </x:si>
  <x:si>
    <x:t xml:space="preserve">W13</x:t>
  </x:si>
  <x:si>
    <x:t xml:space="preserve">WR_ADHERENT_SYSCTRL_TO_SERVO_R1</x:t>
  </x:si>
  <x:si>
    <x:t xml:space="preserve">SYSCTRL J20 → tilt servo (via X + Z chains)</x:t>
  </x:si>
  <x:si>
    <x:t xml:space="preserve">4c 22 AWG R-B-Y-G · R = 6.8 V, B = GND, Y = PWM, G = spare</x:t>
  </x:si>
  <x:si>
    <x:t xml:space="preserve">Micro-Fit 3 → Micro-Fit 3 (servo 300 mm lead re-terminated)</x:t>
  </x:si>
  <x:si>
    <x:t xml:space="preserve">W14</x:t>
  </x:si>
  <x:si>
    <x:t xml:space="preserve">WR_ADHERENT_SYSCTRL_TO_JBGANTRY_R1</x:t>
  </x:si>
  <x:si>
    <x:t xml:space="preserve">SYSCTRL J21–J26 → JB-GANTRY (column base)</x:t>
  </x:si>
  <x:si>
    <x:t xml:space="preserve">3 × 4c 22 AWG R-B-Y-G loom · each: R = +12 V, B = GND, Y/G = 2 sensor outputs</x:t>
  </x:si>
  <x:si>
    <x:t xml:space="preserve">Micro-Fit 3 ×6 → ferrule + WAGO 221</x:t>
  </x:si>
  <x:si>
    <x:t xml:space="preserve">W15</x:t>
  </x:si>
  <x:si>
    <x:t xml:space="preserve">WR_ADHERENT_JBGANTRY_TO_SENSn_R1</x:t>
  </x:si>
  <x:si>
    <x:t xml:space="preserve">JB-GANTRY → 6 × EE-SX67x-WR</x:t>
  </x:si>
  <x:si>
    <x:t xml:space="preserve">sensor 1 m 4-core robot cable (brown Vcc, blue 0 V, black OUT, pink L to 0 V or open)</x:t>
  </x:si>
  <x:si>
    <x:t xml:space="preserve">ferrule + WAGO 221 ← sensor lead</x:t>
  </x:si>
  <x:si>
    <x:t xml:space="preserve">W16</x:t>
  </x:si>
  <x:si>
    <x:t xml:space="preserve">WR_ADHERENT_SYSCTRL_TO_CHUCKROT_R1</x:t>
  </x:si>
  <x:si>
    <x:t xml:space="preserve">SYSCTRL J18 → chuck rotate stepper</x:t>
  </x:si>
  <x:si>
    <x:t xml:space="preserve">4c 22 AWG R-B-Y-G shielded · R/B = phase A, Y/G = phase B</x:t>
  </x:si>
  <x:si>
    <x:t xml:space="preserve">Micro-Fit 4 → crimp to motor leads</x:t>
  </x:si>
  <x:si>
    <x:t xml:space="preserve">W17</x:t>
  </x:si>
  <x:si>
    <x:t xml:space="preserve">WR_ADHERENT_SYSCTRL_TO_CHUCKJAW_R1</x:t>
  </x:si>
  <x:si>
    <x:t xml:space="preserve">SYSCTRL J19 → chuck jaw stepper</x:t>
  </x:si>
  <x:si>
    <x:t xml:space="preserve">W18</x:t>
  </x:si>
  <x:si>
    <x:t xml:space="preserve">WR_ADHERENT_SYSCTRL_TO_JAWSENS_R1</x:t>
  </x:si>
  <x:si>
    <x:t xml:space="preserve">SYSCTRL J27 → jaw home sensor</x:t>
  </x:si>
  <x:si>
    <x:t xml:space="preserve">4c 22 AWG R-B-Y-G · R = +V, B = GND, Y = out, G = spare</x:t>
  </x:si>
  <x:si>
    <x:t xml:space="preserve">Micro-Fit 3 → sensor lead</x:t>
  </x:si>
  <x:si>
    <x:t xml:space="preserve">W19</x:t>
  </x:si>
  <x:si>
    <x:t xml:space="preserve">WR_ADHERENT_MAINCTRL_TO_MARKER_R1</x:t>
  </x:si>
  <x:si>
    <x:t xml:space="preserve">MAINCTRL → label marker</x:t>
  </x:si>
  <x:si>
    <x:t xml:space="preserve">USB or Cat6 (exception, TBC)</x:t>
  </x:si>
  <x:si>
    <x:t xml:space="preserve">moulded</x:t>
  </x:si>
  <x:si>
    <x:t xml:space="preserve">W20</x:t>
  </x:si>
  <x:si>
    <x:t xml:space="preserve">4c 22 AWG R-B-Y-G · R/B = K1, Y/G = K2</x:t>
  </x:si>
  <x:si>
    <x:t xml:space="preserve">W21</x:t>
  </x:si>
  <x:si>
    <x:t xml:space="preserve">4c 22 AWG R-B-Y-G · R/B = K3, Y/G = K4</x:t>
  </x:si>
  <x:si>
    <x:t xml:space="preserve">W22</x:t>
  </x:si>
  <x:si>
    <x:t xml:space="preserve">2 × 4c 22 AWG R-B-Y-G · B = GND common, R/Y/G = 3 inputs each</x:t>
  </x:si>
  <x:si>
    <x:t xml:space="preserve">W23</x:t>
  </x:si>
  <x:si>
    <x:t xml:space="preserve">WR_ADHERENT_JBDOORS_TO_DOORSENSn_R1</x:t>
  </x:si>
  <x:si>
    <x:t xml:space="preserve">JB-DOORS → 5 door sensors</x:t>
  </x:si>
  <x:si>
    <x:t xml:space="preserve">4c 22 AWG R-B-Y-G (R = signal, B = GND, Y/G spare)</x:t>
  </x:si>
  <x:si>
    <x:t xml:space="preserve">ferrule + WAGO 221 → sensor</x:t>
  </x:si>
  <x:si>
    <x:t xml:space="preserve">W24</x:t>
  </x:si>
  <x:si>
    <x:t xml:space="preserve">WR_ADHERENT_DIST_TO_LANECTRLnn_R1</x:t>
  </x:si>
  <x:si>
    <x:t xml:space="preserve">F1–F10 → LANECTRL-01…10 J5</x:t>
  </x:si>
  <x:si>
    <x:t xml:space="preserve">4c 22 AWG R-B-Y-G · R+Y = 24 V, B+G = GND (2 × 22 AWG per pole, 5 A)</x:t>
  </x:si>
  <x:si>
    <x:t xml:space="preserve">ferrule (fuse block) → Micro-Fit 4 (2 + 2)</x:t>
  </x:si>
  <x:si>
    <x:t xml:space="preserve">W25</x:t>
  </x:si>
  <x:si>
    <x:t xml:space="preserve">WR_ADHERENT_SYSCTRL_TO_LANECTRL10_R1</x:t>
  </x:si>
  <x:si>
    <x:t xml:space="preserve">SYSCTRL J15A → LANECTRL-10 J6</x:t>
  </x:si>
  <x:si>
    <x:t xml:space="preserve">4c 22 AWG R-B-Y-G shielded · R = 12 V, B = GND, Y = CAN_H, G = CAN_L</x:t>
  </x:si>
  <x:si>
    <x:t xml:space="preserve">Micro-Fit 5 ↔ Micro-Fit 5 (pin 5 = shield)</x:t>
  </x:si>
  <x:si>
    <x:t xml:space="preserve">W26</x:t>
  </x:si>
  <x:si>
    <x:t xml:space="preserve">WR_ADHERENT_LANECTRLnn_TO_LANECTRLmm_R1</x:t>
  </x:si>
  <x:si>
    <x:t xml:space="preserve">LANECTRL-10 → 09 → … → 01 (J7 → J6)</x:t>
  </x:si>
  <x:si>
    <x:t xml:space="preserve">Micro-Fit 5 ↔ Micro-Fit 5</x:t>
  </x:si>
  <x:si>
    <x:t xml:space="preserve">W27</x:t>
  </x:si>
  <x:si>
    <x:t xml:space="preserve">WR_ADHERENT_LANECTRLnn_TO_LANEm_R1</x:t>
  </x:si>
  <x:si>
    <x:t xml:space="preserve">LANECTRL J8–J14 (front edge) → 7 conveyors per row</x:t>
  </x:si>
  <x:si>
    <x:t xml:space="preserve">4c 22 AWG R-B-Y-G · R = M+ (pin 1), B = M− (pin 2), Y = signal (pin 3), G = spare</x:t>
  </x:si>
  <x:si>
    <x:t xml:space="preserve">Micro-Fit 3 → ferrules into the conveyor 3-pos pluggable screw terminal (pitch TBC)</x:t>
  </x:si>
  <x:si>
    <x:t xml:space="preserve">W28</x:t>
  </x:si>
  <x:si>
    <x:t xml:space="preserve">4c 22 AWG R-B-Y-G (TBD with actuator set)</x:t>
  </x:si>
  <x:si>
    <x:t xml:space="preserve">W33</x:t>
  </x:si>
  <x:si>
    <x:t xml:space="preserve">4c 22 AWG R-B-Y-G shielded · Y = A, G = B, B = GND, R = n/c · 120 Ω at both ends</x:t>
  </x:si>
  <x:si>
    <x:t xml:space="preserve">W34</x:t>
  </x:si>
  <x:si>
    <x:t xml:space="preserve">Totals</x:t>
  </x:si>
  <x:si>
    <x:t xml:space="preserve">Column I = number of standard 4c 22 AWG cables in the run (0 = exception cable or sensor-supplied lead). Column J = F × G × I × 1.2 service allowance. W24 length is the average of the 10 rows (1.6 m bottom → 3.2 m top, board at the front edge of the row). W28 quantity is 0 until the door actuator set is defined.</x:t>
  </x:si>
  <x:si>
    <x:t xml:space="preserve">Electronics / PCB list</x:t>
  </x:si>
  <x:si>
    <x:t xml:space="preserve">Custom boards HW_ADHERENT_XXX_R1 with firmware FW_ADHERENT_XXX_R1, plus off-the-shelf modules</x:t>
  </x:si>
  <x:si>
    <x:t xml:space="preserve">#</x:t>
  </x:si>
  <x:si>
    <x:t xml:space="preserve">Board / module</x:t>
  </x:si>
  <x:si>
    <x:t xml:space="preserve">Type</x:t>
  </x:si>
  <x:si>
    <x:t xml:space="preserve">Function</x:t>
  </x:si>
  <x:si>
    <x:t xml:space="preserve">Key parts / I/O</x:t>
  </x:si>
  <x:si>
    <x:t xml:space="preserve">Firmware</x:t>
  </x:si>
  <x:si>
    <x:t xml:space="preserve">Location</x:t>
  </x:si>
  <x:si>
    <x:t xml:space="preserve">Connectors / cables</x:t>
  </x:si>
  <x:si>
    <x:t xml:space="preserve">1</x:t>
  </x:si>
  <x:si>
    <x:t xml:space="preserve">MAINCTRL · MYIR MYD-YF13X (MYD-YF135-4E512D-100-I)</x:t>
  </x:si>
  <x:si>
    <x:t xml:space="preserve">COTS single-board computer, industrial grade · price TBC</x:t>
  </x:si>
  <x:si>
    <x:t xml:space="preserve">Supervisory controller: web UI, REST vend API, job log, CAN master, RS485 master</x:t>
  </x:si>
  <x:si>
    <x:t xml:space="preserve">ST STM32MP135DAF7 Cortex-A7 1 GHz · 512 MB DDR3L · 4 GB eMMC · 2 × GbE · 2 × USB 2.0 host + 1 × USB-C OTG · 1 × CAN FD · RS485 + RS232 + debug UART · mini-PCIe (USB) + SIM for 4G LTE · micro SD · parallel LCD · DVP camera · 108 GPIO · 12 V / 2 A · −40…85 °C · 137 × 105 mm · Wi-Fi / BT not on board (USB module)</x:t>
  </x:si>
  <x:si>
    <x:t xml:space="preserve">FW_ADHERENT_MAINCTRL_R1 (Linux application on the MYIR Linux 5.15 BSP)</x:t>
  </x:si>
  <x:si>
    <x:t xml:space="preserve">cabinet</x:t>
  </x:si>
  <x:si>
    <x:t xml:space="preserve">board DC plug (W05), CAN FD header (W08), RJ45 (W09), USB Wi-Fi / BT module (W10), RS485 terminal (W33)</x:t>
  </x:si>
  <x:si>
    <x:t xml:space="preserve">2</x:t>
  </x:si>
  <x:si>
    <x:t xml:space="preserve">USB Wi-Fi / BT module for MAINCTRL (optional)</x:t>
  </x:si>
  <x:si>
    <x:t xml:space="preserve">COTS, USB 2.0</x:t>
  </x:si>
  <x:si>
    <x:t xml:space="preserve">Wi-Fi backup link and BLE pairing option; not needed if the site link is wired</x:t>
  </x:si>
  <x:si>
    <x:t xml:space="preserve">USB Wi-Fi 5 / BT 5 module (MYIR optional module or RTL8822 class dongle) · U.FL antenna → RP-SMA bulkhead</x:t>
  </x:si>
  <x:si>
    <x:t xml:space="preserve">0 / 1</x:t>
  </x:si>
  <x:si>
    <x:t xml:space="preserve">on MAINCTRL USB host</x:t>
  </x:si>
  <x:si>
    <x:t xml:space="preserve">J3, W10</x:t>
  </x:si>
  <x:si>
    <x:t xml:space="preserve">3</x:t>
  </x:si>
  <x:si>
    <x:t xml:space="preserve">HW_ADHERENT_SYSCTRL_R1</x:t>
  </x:si>
  <x:si>
    <x:t xml:space="preserve">custom PCB, STM32</x:t>
  </x:si>
  <x:si>
    <x:t xml:space="preserve">Real-time machine board: gantry, labeling mechanism</x:t>
  </x:si>
  <x:si>
    <x:t xml:space="preserve">FW_ADHERENT_SYSCTRL_R1</x:t>
  </x:si>
  <x:si>
    <x:t xml:space="preserve">J15, J15A, J16–J27, J29, J41</x:t>
  </x:si>
  <x:si>
    <x:t xml:space="preserve">4</x:t>
  </x:si>
  <x:si>
    <x:t xml:space="preserve">HW_ADHERENT_LANECTRL_R1</x:t>
  </x:si>
  <x:si>
    <x:t xml:space="preserve">custom PCB, STM32 (CAN)</x:t>
  </x:si>
  <x:si>
    <x:t xml:space="preserve">Row board: drives the 7 conveyor lanes and carries the 7 lane power buttons + 7 status LEDs</x:t>
  </x:si>
  <x:si>
    <x:t xml:space="preserve">7 × H-bridge 2 A (DRV8876 class) + SMBJ33CA TVS per output · 7 feedback inputs · 7 × Omron B3F-4055 tactile buttons + 7 × 5 mm LEDs on the front edge · CAN in / out with 12 V pass-through · 24 V in, on-board fuse · 3.3 V regulator</x:t>
  </x:si>
  <x:si>
    <x:t xml:space="preserve">FW_ADHERENT_LANECTRL_R1 (one image, node ID by jumper / EEPROM)</x:t>
  </x:si>
  <x:si>
    <x:t xml:space="preserve">10</x:t>
  </x:si>
  <x:si>
    <x:t xml:space="preserve">front edge of each row, behind the lane bezel</x:t>
  </x:si>
  <x:si>
    <x:t xml:space="preserve">J5–J14</x:t>
  </x:si>
  <x:si>
    <x:t xml:space="preserve">5</x:t>
  </x:si>
  <x:si>
    <x:t xml:space="preserve">PSU1 · Mean Well RSP-500-24</x:t>
  </x:si>
  <x:si>
    <x:t xml:space="preserve">COTS</x:t>
  </x:si>
  <x:si>
    <x:t xml:space="preserve">24 V rail: conveyors, chuck steppers</x:t>
  </x:si>
  <x:si>
    <x:t xml:space="preserve">500 W, PFC, 115 / 230 VAC</x:t>
  </x:si>
  <x:si>
    <x:t xml:space="preserve">W01, W03</x:t>
  </x:si>
  <x:si>
    <x:t xml:space="preserve">6</x:t>
  </x:si>
  <x:si>
    <x:t xml:space="preserve">PSU2 · Mean Well LRS-150-12</x:t>
  </x:si>
  <x:si>
    <x:t xml:space="preserve">12 V logic rail for all boards, latches, future door actuators</x:t>
  </x:si>
  <x:si>
    <x:t xml:space="preserve">150 W</x:t>
  </x:si>
  <x:si>
    <x:t xml:space="preserve">W02, W04</x:t>
  </x:si>
  <x:si>
    <x:t xml:space="preserve">7</x:t>
  </x:si>
  <x:si>
    <x:t xml:space="preserve">PSU3 · S-500-48 (from mechanical BOM)</x:t>
  </x:si>
  <x:si>
    <x:t xml:space="preserve">48 V rail for the X / Z closed-loop integrated drives</x:t>
  </x:si>
  <x:si>
    <x:t xml:space="preserve">48 V 10.4 A, 90–135 / 180–264 VAC selector, fan-cooled, 215 × 115 × 50 mm</x:t>
  </x:si>
  <x:si>
    <x:t xml:space="preserve">W31, W32</x:t>
  </x:si>
  <x:si>
    <x:t xml:space="preserve">8</x:t>
  </x:si>
  <x:si>
    <x:t xml:space="preserve">X / Z closed-loop stepper + integrated driver · Emtech 57BYG250-76</x:t>
  </x:si>
  <x:si>
    <x:t xml:space="preserve">COTS (mech BOM)</x:t>
  </x:si>
  <x:si>
    <x:t xml:space="preserve">Gantry axes, 2 N·m, 4 A, brake; X with 3:1 planetary gearbox</x:t>
  </x:si>
  <x:si>
    <x:t xml:space="preserve">drive 24–48 V, STEP/DIR/ENA, ALARM, brake — interface TBC from datasheet</x:t>
  </x:si>
  <x:si>
    <x:t xml:space="preserve">gantry</x:t>
  </x:si>
  <x:si>
    <x:t xml:space="preserve">W11 / W12, W29 / W30</x:t>
  </x:si>
  <x:si>
    <x:t xml:space="preserve">9</x:t>
  </x:si>
  <x:si>
    <x:t xml:space="preserve">DIN fuse terminals · Phoenix UT 4-HESI (5×20)</x:t>
  </x:si>
  <x:si>
    <x:t xml:space="preserve">24 V + 12 V + 48 V distribution F1–F17</x:t>
  </x:si>
  <x:si>
    <x:t xml:space="preserve">5 × 20 mm fuses per schedule</x:t>
  </x:si>
  <x:si>
    <x:t xml:space="preserve">17</x:t>
  </x:si>
  <x:si>
    <x:t xml:space="preserve">cabinet DIN rail</x:t>
  </x:si>
  <x:si>
    <x:t xml:space="preserve">W03–W07, W24, W29, W30, W34</x:t>
  </x:si>
  <x:si>
    <x:t xml:space="preserve">Label marker</x:t>
  </x:si>
  <x:si>
    <x:t xml:space="preserve">Prints prescription text (laser marker or thermal printer — TBC)</x:t>
  </x:si>
  <x:si>
    <x:t xml:space="preserve">USB or Ethernet, own PSU</x:t>
  </x:si>
  <x:si>
    <x:t xml:space="preserve">labeling station</x:t>
  </x:si>
  <x:si>
    <x:t xml:space="preserve">11</x:t>
  </x:si>
  <x:si>
    <x:t xml:space="preserve">Stack light, 12 V</x:t>
  </x:si>
  <x:si>
    <x:t xml:space="preserve">Machine status</x:t>
  </x:si>
  <x:si>
    <x:t xml:space="preserve">3-colour, 12 V</x:t>
  </x:si>
  <x:si>
    <x:t xml:space="preserve">cabinet top / front</x:t>
  </x:si>
  <x:si>
    <x:t xml:space="preserve">12</x:t>
  </x:si>
  <x:si>
    <x:t xml:space="preserve">COTS relay / IO module, ≈ USD 30–40 (verify)</x:t>
  </x:si>
  <x:si>
    <x:t xml:space="preserve">Door latches K1–K4, door sensors, future door actuators</x:t>
  </x:si>
  <x:si>
    <x:t xml:space="preserve">ESP32-S3 · 8 × relay 10 A 250 VAC / 30 VDC (1NO 1NC) · 8 × opto-isolated DI · isolated RS485 with 120 Ω jumper · 7–36 V in · TCA9554 relay expander · DIN-rail ABS box 90 × 175 mm · Wi-Fi / BLE / Ethernet not used</x:t>
  </x:si>
  <x:si>
    <x:t xml:space="preserve">near the doors, DIN rail</x:t>
  </x:si>
  <x:si>
    <x:t xml:space="preserve">J49 (RS485 + 12 V), RO1–RO8, DI1–DI8</x:t>
  </x:si>
  <x:si>
    <x:t xml:space="preserve">Conveyor CB002-24V-573mm (datasheet 2026-07-31): 24 VDC brushed gearmotor, ≤0.2 A no-load, 5.8 cm/s, ≤6 kg rated load, 676 × 70 × 50 mm, 3-pos screw terminal (1 +, 2 −, 3 signal). Not a PCB; listed for the LANECTRL H-bridge and fuse sizing. Stall current and signal type still to be confirmed.</x:t>
  </x:si>
  <x:si>
    <x:t xml:space="preserve">Power distribution · loads per rail</x:t>
  </x:si>
  <x:si>
    <x:t xml:space="preserve">PSU1 24 V = motor rail (conveyors, chuck steppers, brakes) · PSU2 12 V = logic rail for every board, latches, lights · PSU3 48 V = gantry X / Z drives. "Typical" = steady state while one lane dispenses; "Peak" = the most units that can be on at the same time on that rail. Blue cells are Rev A estimates — replace with bench measurements, everything below recalculates.</x:t>
  </x:si>
  <x:si>
    <x:t xml:space="preserve">Rail</x:t>
  </x:si>
  <x:si>
    <x:t xml:space="preserve">PSU</x:t>
  </x:si>
  <x:si>
    <x:t xml:space="preserve">Fuse</x:t>
  </x:si>
  <x:si>
    <x:t xml:space="preserve">Load</x:t>
  </x:si>
  <x:si>
    <x:t xml:space="preserve">Qty installed</x:t>
  </x:si>
  <x:si>
    <x:t xml:space="preserve">Units on · typical</x:t>
  </x:si>
  <x:si>
    <x:t xml:space="preserve">Units on · peak</x:t>
  </x:si>
  <x:si>
    <x:t xml:space="preserve">A each · typical</x:t>
  </x:si>
  <x:si>
    <x:t xml:space="preserve">A each · peak</x:t>
  </x:si>
  <x:si>
    <x:t xml:space="preserve">Typical A total</x:t>
  </x:si>
  <x:si>
    <x:t xml:space="preserve">Peak A total</x:t>
  </x:si>
  <x:si>
    <x:t xml:space="preserve">When</x:t>
  </x:si>
  <x:si>
    <x:t xml:space="preserve">Source / assumption</x:t>
  </x:si>
  <x:si>
    <x:t xml:space="preserve">24 V</x:t>
  </x:si>
  <x:si>
    <x:t xml:space="preserve">PSU1</x:t>
  </x:si>
  <x:si>
    <x:t xml:space="preserve">F1–F10</x:t>
  </x:si>
  <x:si>
    <x:t xml:space="preserve">Conveyor CB002-24V-573mm (70 lanes, 7 per row)</x:t>
  </x:si>
  <x:si>
    <x:t xml:space="preserve">one lane per dispense; peak = a whole row jogged in service</x:t>
  </x:si>
  <x:si>
    <x:t xml:space="preserve">datasheet: ≤0.2 A no-load, 5.8 cm/s, ≤6 kg; loaded run ≈0.6 A and stall 2 A assumed (LANECTRL H-bridge limit)</x:t>
  </x:si>
  <x:si>
    <x:t xml:space="preserve">LANECTRL motor-stage losses (H-bridges, TVS)</x:t>
  </x:si>
  <x:si>
    <x:t xml:space="preserve">continuous</x:t>
  </x:si>
  <x:si>
    <x:t xml:space="preserve">estimate</x:t>
  </x:si>
  <x:si>
    <x:t xml:space="preserve">F11</x:t>
  </x:si>
  <x:si>
    <x:t xml:space="preserve">Chuck rotate stepper NEMA23 + TMC5160</x:t>
  </x:si>
  <x:si>
    <x:t xml:space="preserve">label alignment</x:t>
  </x:si>
  <x:si>
    <x:t xml:space="preserve">estimate from 2.8 A phase current at 24 V</x:t>
  </x:si>
  <x:si>
    <x:t xml:space="preserve">Chuck jaw stepper NEMA11 + TMC2209</x:t>
  </x:si>
  <x:si>
    <x:t xml:space="preserve">clamp / release</x:t>
  </x:si>
  <x:si>
    <x:t xml:space="preserve">X / Z drive brakes (24 V coils, released while moving)</x:t>
  </x:si>
  <x:si>
    <x:t xml:space="preserve">while gantry moves</x:t>
  </x:si>
  <x:si>
    <x:t xml:space="preserve">estimate — confirm with Emtech 57BYG250-76 datasheet</x:t>
  </x:si>
  <x:si>
    <x:t xml:space="preserve">12 V</x:t>
  </x:si>
  <x:si>
    <x:t xml:space="preserve">PSU2</x:t>
  </x:si>
  <x:si>
    <x:t xml:space="preserve">F13</x:t>
  </x:si>
  <x:si>
    <x:t xml:space="preserve">MAINCTRL · MYIR MYD-YF13X (+ USB Wi-Fi module)</x:t>
  </x:si>
  <x:si>
    <x:t xml:space="preserve">board spec 12 V / 2 A adapter; typical estimated</x:t>
  </x:si>
  <x:si>
    <x:t xml:space="preserve">F12</x:t>
  </x:si>
  <x:si>
    <x:t xml:space="preserve">SYSCTRL logic (STM32, CAN, opto inputs)</x:t>
  </x:si>
  <x:si>
    <x:t xml:space="preserve">Tilt servo DS3218 via 6.8 V buck</x:t>
  </x:si>
  <x:si>
    <x:t xml:space="preserve">basket tilt</x:t>
  </x:si>
  <x:si>
    <x:t xml:space="preserve">datasheet: stall 2.2 A at 6.8 V → ≈1.5 A from 12 V incl. buck loss</x:t>
  </x:si>
  <x:si>
    <x:t xml:space="preserve">Stack light</x:t>
  </x:si>
  <x:si>
    <x:t xml:space="preserve">Interior lighting zones, LED strip (proposal, not yet approved)</x:t>
  </x:si>
  <x:si>
    <x:t xml:space="preserve">on by event</x:t>
  </x:si>
  <x:si>
    <x:t xml:space="preserve">estimate 1 A per zone</x:t>
  </x:si>
  <x:si>
    <x:t xml:space="preserve">F14</x:t>
  </x:si>
  <x:si>
    <x:t xml:space="preserve">LANECTRL logic + lane LEDs (12 V rides in the CAN cable)</x:t>
  </x:si>
  <x:si>
    <x:t xml:space="preserve">estimate: 0.1 A logic + 7 LEDs × 20 mA</x:t>
  </x:si>
  <x:si>
    <x:t xml:space="preserve">F17</x:t>
  </x:si>
  <x:si>
    <x:t xml:space="preserve">coils only while a latch is energised</x:t>
  </x:si>
  <x:si>
    <x:t xml:space="preserve">estimate: ESP32 0.25 A + 8 × 70 mA coils</x:t>
  </x:si>
  <x:si>
    <x:t xml:space="preserve">EM latches K1–K4 (main, retrieval, return, table door)</x:t>
  </x:si>
  <x:si>
    <x:t xml:space="preserve">momentary, one door event at a time</x:t>
  </x:si>
  <x:si>
    <x:t xml:space="preserve">estimate 0.6 A per latch — latch datasheet pending</x:t>
  </x:si>
  <x:si>
    <x:t xml:space="preserve">Door actuator set (customer to define)</x:t>
  </x:si>
  <x:si>
    <x:t xml:space="preserve">not defined</x:t>
  </x:si>
  <x:si>
    <x:t xml:space="preserve">placeholder</x:t>
  </x:si>
  <x:si>
    <x:t xml:space="preserve">48 V</x:t>
  </x:si>
  <x:si>
    <x:t xml:space="preserve">PSU3</x:t>
  </x:si>
  <x:si>
    <x:t xml:space="preserve">F15</x:t>
  </x:si>
  <x:si>
    <x:t xml:space="preserve">X closed-loop drive Emtech 57BYG250-76 (4 A phase)</x:t>
  </x:si>
  <x:si>
    <x:t xml:space="preserve">gantry travel</x:t>
  </x:si>
  <x:si>
    <x:t xml:space="preserve">estimate; supply current is below phase current at 48 V</x:t>
  </x:si>
  <x:si>
    <x:t xml:space="preserve">F16</x:t>
  </x:si>
  <x:si>
    <x:t xml:space="preserve">Z closed-loop drive Emtech 57BYG250-76 (4 A phase)</x:t>
  </x:si>
  <x:si>
    <x:t xml:space="preserve">lift; brake holds at rest</x:t>
  </x:si>
  <x:si>
    <x:t xml:space="preserve">Rail summary</x:t>
  </x:si>
  <x:si>
    <x:t xml:space="preserve">Rated A</x:t>
  </x:si>
  <x:si>
    <x:t xml:space="preserve">Rated W</x:t>
  </x:si>
  <x:si>
    <x:t xml:space="preserve">Typical A</x:t>
  </x:si>
  <x:si>
    <x:t xml:space="preserve">Peak A</x:t>
  </x:si>
  <x:si>
    <x:t xml:space="preserve">Peak / rated</x:t>
  </x:si>
  <x:si>
    <x:t xml:space="preserve">Typical W</x:t>
  </x:si>
  <x:si>
    <x:t xml:space="preserve">Peak W</x:t>
  </x:si>
  <x:si>
    <x:t xml:space="preserve">Verdict</x:t>
  </x:si>
  <x:si>
    <x:t xml:space="preserve">Note</x:t>
  </x:si>
  <x:si>
    <x:t xml:space="preserve">Peak is the service case of a whole row jogged (7 lanes) plus chuck; normal dispense peak ≈ 8 A. A 200 W unit would do if row-jog is never needed.</x:t>
  </x:si>
  <x:si>
    <x:t xml:space="preserve">Peak includes the 3 proposed lighting zones (3 A). Without lighting peak ≈ 8 A. If lighting is approved, step up to LRS-200-12 or feed lights from their own supply.</x:t>
  </x:si>
  <x:si>
    <x:t xml:space="preserve">PSU3 · S-500-48</x:t>
  </x:si>
  <x:si>
    <x:t xml:space="preserve">X and Z rarely accelerate together; comfortable margin.</x:t>
  </x:si>
  <x:si>
    <x:t xml:space="preserve">AC input estimate</x:t>
  </x:si>
  <x:si>
    <x:t xml:space="preserve">PSU efficiency (assumed)</x:t>
  </x:si>
  <x:si>
    <x:t xml:space="preserve">Typical AC power (W)</x:t>
  </x:si>
  <x:si>
    <x:t xml:space="preserve">Peak AC power, all rails at peak together (W)</x:t>
  </x:si>
  <x:si>
    <x:t xml:space="preserve">Peak AC current at 120 V (A)</x:t>
  </x:si>
  <x:si>
    <x:t xml:space="preserve">Peak AC current at 230 V (A)</x:t>
  </x:si>
  <x:si>
    <x:t xml:space="preserve">Inlet / breaker</x:t>
  </x:si>
  <x:si>
    <x:t xml:space="preserve">IEC C14 inlet (UL 15 A) with 2-pole 15 A breaker at 120 V (10 A at 230 V); PSU inrush limited by the NTC in the Mean Well units; peaks of the three rails do not coincide in normal operation</x:t>
  </x:si>
  <x:si>
    <x:t xml:space="preserve">DIN fuse block schedule</x:t>
  </x:si>
  <x:si>
    <x:t xml:space="preserve">Phoenix Contact UT 4-HESI (5×20) terminals, 5 × 20 mm fuses · ratings are Rev A estimates, confirm against measured currents</x:t>
  </x:si>
  <x:si>
    <x:t xml:space="preserve">Rating (A)</x:t>
  </x:si>
  <x:si>
    <x:t xml:space="preserve">LANECTRL-01…10 row feeders</x:t>
  </x:si>
  <x:si>
    <x:t xml:space="preserve">one per row, W24</x:t>
  </x:si>
  <x:si>
    <x:t xml:space="preserve">SYSCTRL chuck stepper rail</x:t>
  </x:si>
  <x:si>
    <x:t xml:space="preserve">SYSCTRL logic, servo, lighting outputs</x:t>
  </x:si>
  <x:si>
    <x:t xml:space="preserve">lane-bus 12 V rail (via SYSCTRL J15A)</x:t>
  </x:si>
  <x:si>
    <x:t xml:space="preserve">W07 (yellow) → W25 / W26</x:t>
  </x:si>
  <x:si>
    <x:t xml:space="preserve">X drive unit</x:t>
  </x:si>
  <x:si>
    <x:t xml:space="preserve">Z drive unit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</x:si>
</x:sst>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14">
    <x:font>
      <x:sz val="11"/>
      <x:color theme="1"/>
      <x:name val="Calibri"/>
    </x:font>
    <x:font>
      <x:b/>
      <x:sz val="14"/>
      <x:color rgb="FF0B1F33"/>
      <x:name val="Arial"/>
    </x:font>
    <x:font>
      <x:i/>
      <x:sz val="9"/>
      <x:color rgb="FF555555"/>
      <x:name val="Arial"/>
    </x:font>
    <x:font>
      <x:sz val="10"/>
      <x:name val="Arial"/>
    </x:font>
    <x:font>
      <x:b/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i/>
      <x:sz val="9"/>
      <x:color rgb="FF555555"/>
      <x:name val="Arial"/>
    </x:font>
    <x:font>
      <x:sz val="10"/>
      <x:color rgb="FF0000FF"/>
      <x:name val="Arial"/>
    </x:font>
    <x:font>
      <x:b/>
      <x:sz val="14"/>
      <x:color rgb="FF0B1F33"/>
      <x:name val="Arial"/>
    </x:font>
    <x:font>
      <x:i/>
      <x:sz val="9"/>
      <x:color rgb="FF555555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2"/>
      <x:color rgb="FF0B1F33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7EAEF"/>
      </x:patternFill>
    </x:fill>
    <x:fill>
      <x:patternFill patternType="solid">
        <x:fgColor rgb="FF0B1F33"/>
      </x:patternFill>
    </x:fill>
    <x:fill>
      <x:patternFill patternType="solid">
        <x:fgColor rgb="FFFBE9E7"/>
      </x:patternFill>
    </x:fill>
    <x:fill>
      <x:patternFill patternType="solid">
        <x:fgColor rgb="FFFDF3E1"/>
      </x:patternFill>
    </x:fill>
    <x:fill>
      <x:patternFill patternType="solid">
        <x:fgColor rgb="FFEAF4FB"/>
      </x:patternFill>
    </x:fill>
  </x:fills>
  <x:borders count="4">
    <x:border/>
    <x:border>
      <x:left style="thin">
        <x:color rgb="FFBEC5CE"/>
      </x:left>
      <x:right style="thin">
        <x:color rgb="FFBEC5CE"/>
      </x:right>
      <x:top style="thin">
        <x:color rgb="FFBEC5CE"/>
      </x:top>
      <x:bottom style="thin">
        <x:color rgb="FFBEC5CE"/>
      </x:bottom>
    </x:border>
    <x:border>
      <x:left style="thin">
        <x:color rgb="FFBEC5CE"/>
      </x:left>
      <x:right style="thin">
        <x:color rgb="FFBEC5CE"/>
      </x:right>
      <x:top style="thin">
        <x:color rgb="FFBEC5CE"/>
      </x:top>
      <x:bottom style="thin">
        <x:color rgb="FFBEC5CE"/>
      </x:bottom>
    </x:border>
    <x:border>
      <x:left style="thin">
        <x:color rgb="FFBEC5CE"/>
      </x:left>
      <x:right style="thin">
        <x:color rgb="FFBEC5CE"/>
      </x:right>
      <x:top style="thin">
        <x:color rgb="FFBEC5CE"/>
      </x:top>
      <x:bottom style="thin">
        <x:color rgb="FFBEC5CE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4" fillId="0" borderId="0" xfId="0" applyFont="1"/>
    <x:xf numFmtId="0" fontId="5" fillId="2" borderId="1" xfId="0" applyFont="1" applyFill="1" applyBorder="1" applyAlignment="1">
      <x:alignment vertical="center" wrapText="1"/>
    </x:xf>
    <x:xf numFmtId="0" fontId="3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vertical="top" wrapText="1"/>
    </x:xf>
    <x:xf numFmtId="164" fontId="6" fillId="0" borderId="1" xfId="0" applyNumberFormat="1" applyFont="1" applyBorder="1" applyAlignment="1">
      <x:alignment vertical="top" wrapText="1"/>
    </x:xf>
    <x:xf numFmtId="164" fontId="3" fillId="0" borderId="1" xfId="0" applyNumberFormat="1" applyFont="1" applyBorder="1" applyAlignment="1">
      <x:alignment vertical="top" wrapText="1"/>
    </x:xf>
    <x:xf numFmtId="0" fontId="0" fillId="3" borderId="1" xfId="0" applyFill="1" applyBorder="1"/>
    <x:xf numFmtId="0" fontId="4" fillId="3" borderId="1" xfId="0" applyFont="1" applyFill="1" applyBorder="1"/>
    <x:xf numFmtId="164" fontId="4" fillId="3" borderId="1" xfId="0" applyNumberFormat="1" applyFont="1" applyFill="1" applyBorder="1"/>
    <x:xf numFmtId="0" fontId="7" fillId="0" borderId="0" xfId="0" applyFont="1"/>
    <x:xf numFmtId="0" fontId="3" fillId="0" borderId="2" xfId="0" applyFont="1" applyBorder="1" applyAlignment="1">
      <x:alignment vertical="top" wrapText="1"/>
    </x:xf>
    <x:xf numFmtId="164" fontId="8" fillId="0" borderId="2" xfId="0" applyNumberFormat="1" applyFont="1" applyBorder="1" applyAlignment="1">
      <x:alignment vertical="top" wrapText="1"/>
    </x:xf>
    <x:xf numFmtId="0" fontId="8" fillId="0" borderId="2" xfId="0" applyFont="1" applyBorder="1" applyAlignment="1">
      <x:alignment vertical="top" wrapText="1"/>
    </x:xf>
    <x:xf numFmtId="164" fontId="3" fillId="0" borderId="2" xfId="0" applyNumberFormat="1" applyFont="1" applyBorder="1" applyAlignment="1">
      <x:alignment vertical="top" wrapText="1"/>
    </x:xf>
    <x:xf numFmtId="0" fontId="9" fillId="0" borderId="0" xfId="0" applyFont="1"/>
    <x:xf numFmtId="0" fontId="11" fillId="4" borderId="3" xfId="0" applyFont="1" applyFill="1" applyBorder="1" applyAlignment="1">
      <x:alignment vertical="center" wrapText="1"/>
    </x:xf>
    <x:xf numFmtId="0" fontId="3" fillId="5" borderId="3" xfId="0" applyFont="1" applyFill="1" applyBorder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12" fillId="0" borderId="3" xfId="0" applyFont="1" applyBorder="1" applyAlignment="1">
      <x:alignment vertical="top" wrapText="1"/>
    </x:xf>
    <x:xf numFmtId="2" fontId="12" fillId="0" borderId="3" xfId="0" applyNumberFormat="1" applyFont="1" applyBorder="1" applyAlignment="1">
      <x:alignment vertical="top" wrapText="1"/>
    </x:xf>
    <x:xf numFmtId="2" fontId="3" fillId="0" borderId="3" xfId="0" applyNumberFormat="1" applyFont="1" applyBorder="1" applyAlignment="1">
      <x:alignment vertical="top" wrapText="1"/>
    </x:xf>
    <x:xf numFmtId="0" fontId="3" fillId="6" borderId="3" xfId="0" applyFont="1" applyFill="1" applyBorder="1" applyAlignment="1">
      <x:alignment vertical="top" wrapText="1"/>
    </x:xf>
    <x:xf numFmtId="0" fontId="3" fillId="7" borderId="3" xfId="0" applyFont="1" applyFill="1" applyBorder="1" applyAlignment="1">
      <x:alignment vertical="top" wrapText="1"/>
    </x:xf>
    <x:xf numFmtId="0" fontId="13" fillId="0" borderId="0" xfId="0" applyFont="1"/>
    <x:xf numFmtId="164" fontId="3" fillId="0" borderId="3" xfId="0" applyNumberFormat="1" applyFont="1" applyBorder="1" applyAlignment="1">
      <x:alignment vertical="top" wrapText="1"/>
    </x:xf>
    <x:xf numFmtId="9" fontId="3" fillId="0" borderId="3" xfId="0" applyNumberFormat="1" applyFont="1" applyBorder="1" applyAlignment="1">
      <x:alignment vertical="top" wrapText="1"/>
    </x:xf>
    <x:xf numFmtId="1" fontId="3" fillId="0" borderId="3" xfId="0" applyNumberFormat="1" applyFont="1" applyBorder="1" applyAlignment="1">
      <x:alignment vertical="top" wrapText="1"/>
    </x:xf>
    <x:xf numFmtId="9" fontId="12" fillId="0" borderId="0" xfId="0" applyNumberFormat="1" applyFont="1"/>
    <x:xf numFmtId="1" fontId="3" fillId="0" borderId="0" xfId="0" applyNumberFormat="1" applyFont="1"/>
    <x:xf numFmtId="164" fontId="3" fillId="0" borderId="0" xfId="0" applyNumberFormat="1" applyFont="1"/>
    <x:xf numFmtId="0" fontId="10" fillId="0" borderId="0" xfId="0" applyFont="1" applyAlignment="1">
      <x:alignment vertical="top" wrapText="1"/>
    </x:xf>
    <x:xf numFmtId="0" fontId="0" fillId="0" borderId="0" xfId="0"/>
    <x:xf numFmtId="0" fontId="3" fillId="0" borderId="0" xfId="0" applyFont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59b489b1bf4a2c" /><Relationship Type="http://schemas.openxmlformats.org/officeDocument/2006/relationships/theme" Target="/xl/theme/theme1.xml" Id="R9d6870b64cb84e51" /><Relationship Type="http://schemas.openxmlformats.org/officeDocument/2006/relationships/sharedStrings" Target="/xl/sharedStrings.xml" Id="R112ca891ca0a466f" /><Relationship Type="http://schemas.openxmlformats.org/officeDocument/2006/relationships/worksheet" Target="/xl/worksheets/sheet1.xml" Id="Rd14dded392394cf9" /><Relationship Type="http://schemas.openxmlformats.org/officeDocument/2006/relationships/worksheet" Target="/xl/worksheets/sheet2.xml" Id="Rdb2c5e36f9a14198" /><Relationship Type="http://schemas.openxmlformats.org/officeDocument/2006/relationships/worksheet" Target="/xl/worksheets/sheet3.xml" Id="R07895848c6d3407f" /><Relationship Type="http://schemas.openxmlformats.org/officeDocument/2006/relationships/worksheet" Target="/xl/worksheets/sheet4.xml" Id="R98f913604bcf4699" /><Relationship Type="http://schemas.openxmlformats.org/officeDocument/2006/relationships/worksheet" Target="/xl/worksheets/sheet5.xml" Id="Rfc7aeed6dd8a4ba4" /><Relationship Type="http://schemas.openxmlformats.org/officeDocument/2006/relationships/worksheet" Target="/xl/worksheets/sheet6.xml" Id="R5686b971d908440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0" customWidth="1"/>
  </x:cols>
  <x:sheetData>
    <x:row r="1" ht="18" customHeight="1">
      <x:c r="A1" s="1" t="s">
        <x:v>0</x:v>
      </x:c>
    </x:row>
    <x:row r="2">
      <x:c r="A2" s="2" t="s">
        <x:v>1</x:v>
      </x:c>
    </x:row>
    <x:row r="3">
      <x:c r="A3" s="3"/>
    </x:row>
    <x:row r="4">
      <x:c r="A4" s="4" t="s">
        <x:v>2</x:v>
      </x:c>
    </x:row>
    <x:row r="5">
      <x:c r="A5" s="3" t="s">
        <x:v>3</x:v>
      </x:c>
    </x:row>
    <x:row r="6">
      <x:c r="A6" s="3" t="s">
        <x:v>4</x:v>
      </x:c>
    </x:row>
    <x:row r="7">
      <x:c r="A7" s="3" t="str">
        <x:v>PCBs — custom boards HW_ADHERENT_XXX_R1 (SYSCTRL, LANECTRL — lane buttons and LEDs are on the LANECTRL board) with firmware names, plus off-the-shelf modules; MAINCTRL is the COTS MYIR MYD-YF13X board (ST STM32MP135, Linux 5.15); IOCTRL (door relays and sensors) is the COTS Waveshare ESP32-S3-ETH-8DI-8RO on RS485.</x:v>
      </x:c>
    </x:row>
    <x:row r="8">
      <x:c r="A8" s="3" t="s">
        <x:v>5</x:v>
      </x:c>
    </x:row>
    <x:row r="9">
      <x:c r="A9" s="3" t="s">
        <x:v>6</x:v>
      </x:c>
    </x:row>
    <x:row r="10">
      <x:c r="A10" s="3"/>
    </x:row>
    <x:row r="11">
      <x:c r="A11" s="4" t="s">
        <x:v>7</x:v>
      </x:c>
    </x:row>
    <x:row r="12">
      <x:c r="A12" s="3" t="s">
        <x:v>8</x:v>
      </x:c>
    </x:row>
    <x:row r="13">
      <x:c r="A13" s="3" t="s">
        <x:v>9</x:v>
      </x:c>
    </x:row>
    <x:row r="14">
      <x:c r="A14" s="3" t="s">
        <x:v>10</x:v>
      </x:c>
    </x:row>
    <x:row r="15">
      <x:c r="A15" s="3" t="s">
        <x:v>11</x:v>
      </x:c>
    </x:row>
    <x:row r="16">
      <x:c r="A16" s="3" t="s">
        <x:v>12</x:v>
      </x:c>
    </x:row>
    <x:row r="17" ht="46" customHeight="1">
      <x:c r="A17" s="37" t="str">
        <x:v>J2: McMaster-Carr 1422N13, qty 1/system, selected by user. Shielded Cat5e RJ45 female/female, black plastic, 0.95 in (24.13 mm) panel cutout; mounting fasteners included. Source: https://www.mcmaster.com/product/1422N13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customWidth="1"/>
    <x:col min="2" max="2" width="44" customWidth="1"/>
    <x:col min="3" max="3" width="26" customWidth="1"/>
    <x:col min="4" max="5" width="34" customWidth="1"/>
    <x:col min="6" max="6" width="48" customWidth="1"/>
  </x:cols>
  <x:sheetData>
    <x:row r="1" ht="18" customHeight="1">
      <x:c r="A1" s="1" t="s">
        <x:v>13</x:v>
      </x:c>
    </x:row>
    <x:row r="2">
      <x:c r="A2" s="2" t="s">
        <x:v>14</x:v>
      </x:c>
    </x:row>
    <x:row r="4" ht="30" customHeight="1">
      <x:c r="A4" s="5" t="s">
        <x:v>15</x:v>
      </x:c>
      <x:c r="B4" s="5" t="s">
        <x:v>16</x:v>
      </x:c>
      <x:c r="C4" s="5" t="s">
        <x:v>17</x:v>
      </x:c>
      <x:c r="D4" s="5" t="s">
        <x:v>18</x:v>
      </x:c>
      <x:c r="E4" s="5" t="s">
        <x:v>19</x:v>
      </x:c>
      <x:c r="F4" s="5" t="s">
        <x:v>20</x:v>
      </x:c>
    </x:row>
    <x:row r="5">
      <x:c r="A5" s="6" t="s">
        <x:v>21</x:v>
      </x:c>
      <x:c r="B5" s="6" t="s">
        <x:v>22</x:v>
      </x:c>
      <x:c r="C5" s="6" t="s">
        <x:v>23</x:v>
      </x:c>
      <x:c r="D5" s="6" t="s">
        <x:v>24</x:v>
      </x:c>
      <x:c r="E5" s="6" t="s">
        <x:v>25</x:v>
      </x:c>
      <x:c r="F5" s="6" t="s">
        <x:v>26</x:v>
      </x:c>
    </x:row>
    <x:row r="6" ht="45" customHeight="1">
      <x:c r="A6" s="6" t="s">
        <x:v>27</x:v>
      </x:c>
      <x:c r="B6" s="6" t="s">
        <x:v>28</x:v>
      </x:c>
      <x:c r="C6" s="6" t="str">
        <x:v>rear panel bulkhead · qty 1</x:v>
      </x:c>
      <x:c r="D6" s="6" t="str">
        <x:v>Shielded Cat5e RJ45 female/female, screw-on</x:v>
      </x:c>
      <x:c r="E6" s="6" t="str">
        <x:v>McMaster-Carr 1422N13</x:v>
      </x:c>
      <x:c r="F6" s="6" t="s">
        <x:v>29</x:v>
      </x:c>
    </x:row>
    <x:row r="7" ht="25.5" customHeight="1">
      <x:c r="A7" s="6" t="s">
        <x:v>30</x:v>
      </x:c>
      <x:c r="B7" s="6" t="s">
        <x:v>31</x:v>
      </x:c>
      <x:c r="C7" s="6" t="s">
        <x:v>23</x:v>
      </x:c>
      <x:c r="D7" s="6" t="s">
        <x:v>32</x:v>
      </x:c>
      <x:c r="E7" s="6" t="s">
        <x:v>33</x:v>
      </x:c>
      <x:c r="F7" s="6" t="s">
        <x:v>34</x:v>
      </x:c>
    </x:row>
    <x:row r="8" ht="25.5" customHeight="1">
      <x:c r="A8" s="6" t="s">
        <x:v>35</x:v>
      </x:c>
      <x:c r="B8" s="6" t="s">
        <x:v>36</x:v>
      </x:c>
      <x:c r="C8" s="6" t="s">
        <x:v>37</x:v>
      </x:c>
      <x:c r="D8" s="6" t="s">
        <x:v>38</x:v>
      </x:c>
      <x:c r="E8" s="6" t="s">
        <x:v>39</x:v>
      </x:c>
      <x:c r="F8" s="6" t="s">
        <x:v>40</x:v>
      </x:c>
    </x:row>
    <x:row r="9" ht="25.5" customHeight="1">
      <x:c r="A9" s="6" t="s">
        <x:v>41</x:v>
      </x:c>
      <x:c r="B9" s="6" t="s">
        <x:v>42</x:v>
      </x:c>
      <x:c r="C9" s="6" t="s">
        <x:v>43</x:v>
      </x:c>
      <x:c r="D9" s="6" t="s">
        <x:v>44</x:v>
      </x:c>
      <x:c r="E9" s="6" t="s">
        <x:v>45</x:v>
      </x:c>
      <x:c r="F9" s="6" t="s">
        <x:v>46</x:v>
      </x:c>
    </x:row>
    <x:row r="10">
      <x:c r="A10" s="6" t="s">
        <x:v>47</x:v>
      </x:c>
      <x:c r="B10" s="6" t="s">
        <x:v>48</x:v>
      </x:c>
      <x:c r="C10" s="6" t="s">
        <x:v>49</x:v>
      </x:c>
      <x:c r="D10" s="6" t="s">
        <x:v>50</x:v>
      </x:c>
      <x:c r="E10" s="6" t="s">
        <x:v>51</x:v>
      </x:c>
      <x:c r="F10" s="6" t="s">
        <x:v>52</x:v>
      </x:c>
    </x:row>
    <x:row r="11" ht="25.5" customHeight="1">
      <x:c r="A11" s="6" t="s">
        <x:v>53</x:v>
      </x:c>
      <x:c r="B11" s="6" t="s">
        <x:v>54</x:v>
      </x:c>
      <x:c r="C11" s="6" t="s">
        <x:v>49</x:v>
      </x:c>
      <x:c r="D11" s="6" t="s">
        <x:v>55</x:v>
      </x:c>
      <x:c r="E11" s="6" t="s">
        <x:v>56</x:v>
      </x:c>
      <x:c r="F11" s="6" t="s">
        <x:v>57</x:v>
      </x:c>
    </x:row>
    <x:row r="12" ht="25.5" customHeight="1">
      <x:c r="A12" s="6" t="s">
        <x:v>58</x:v>
      </x:c>
      <x:c r="B12" s="6" t="s">
        <x:v>59</x:v>
      </x:c>
      <x:c r="C12" s="6" t="s">
        <x:v>60</x:v>
      </x:c>
      <x:c r="D12" s="6" t="s">
        <x:v>61</x:v>
      </x:c>
      <x:c r="E12" s="6" t="s">
        <x:v>62</x:v>
      </x:c>
      <x:c r="F12" s="6" t="s">
        <x:v>63</x:v>
      </x:c>
    </x:row>
    <x:row r="13" ht="25.5" customHeight="1">
      <x:c r="A13" s="6" t="s">
        <x:v>64</x:v>
      </x:c>
      <x:c r="B13" s="6" t="s">
        <x:v>65</x:v>
      </x:c>
      <x:c r="C13" s="6" t="s">
        <x:v>49</x:v>
      </x:c>
      <x:c r="D13" s="6" t="s">
        <x:v>66</x:v>
      </x:c>
      <x:c r="E13" s="6" t="s">
        <x:v>67</x:v>
      </x:c>
      <x:c r="F13" s="6" t="s">
        <x:v>68</x:v>
      </x:c>
    </x:row>
    <x:row r="14" ht="25.5" customHeight="1">
      <x:c r="A14" s="6" t="s">
        <x:v>69</x:v>
      </x:c>
      <x:c r="B14" s="6" t="s">
        <x:v>70</x:v>
      </x:c>
      <x:c r="C14" s="6" t="s">
        <x:v>71</x:v>
      </x:c>
      <x:c r="D14" s="6" t="s">
        <x:v>72</x:v>
      </x:c>
      <x:c r="E14" s="6" t="s">
        <x:v>73</x:v>
      </x:c>
      <x:c r="F14" s="6" t="s">
        <x:v>74</x:v>
      </x:c>
    </x:row>
    <x:row r="15" ht="25.5" customHeight="1">
      <x:c r="A15" s="6" t="s">
        <x:v>75</x:v>
      </x:c>
      <x:c r="B15" s="6" t="s">
        <x:v>76</x:v>
      </x:c>
      <x:c r="C15" s="6" t="s">
        <x:v>71</x:v>
      </x:c>
      <x:c r="D15" s="6" t="s">
        <x:v>77</x:v>
      </x:c>
      <x:c r="E15" s="6" t="s">
        <x:v>78</x:v>
      </x:c>
      <x:c r="F15" s="6" t="s">
        <x:v>79</x:v>
      </x:c>
    </x:row>
    <x:row r="16" ht="25.5" customHeight="1">
      <x:c r="A16" s="6" t="s">
        <x:v>80</x:v>
      </x:c>
      <x:c r="B16" s="6" t="s">
        <x:v>81</x:v>
      </x:c>
      <x:c r="C16" s="6" t="s">
        <x:v>71</x:v>
      </x:c>
      <x:c r="D16" s="6" t="s">
        <x:v>82</x:v>
      </x:c>
      <x:c r="E16" s="6" t="s">
        <x:v>51</x:v>
      </x:c>
      <x:c r="F16" s="6" t="s">
        <x:v>52</x:v>
      </x:c>
    </x:row>
    <x:row r="17">
      <x:c r="A17" s="6" t="s">
        <x:v>83</x:v>
      </x:c>
      <x:c r="B17" s="6" t="s">
        <x:v>84</x:v>
      </x:c>
      <x:c r="C17" s="6" t="s">
        <x:v>85</x:v>
      </x:c>
      <x:c r="D17" s="6" t="s">
        <x:v>86</x:v>
      </x:c>
      <x:c r="E17" s="6" t="s">
        <x:v>67</x:v>
      </x:c>
      <x:c r="F17" s="6" t="s">
        <x:v>87</x:v>
      </x:c>
    </x:row>
    <x:row r="18" ht="25.5" customHeight="1">
      <x:c r="A18" s="6" t="s">
        <x:v>88</x:v>
      </x:c>
      <x:c r="B18" s="6" t="s">
        <x:v>89</x:v>
      </x:c>
      <x:c r="C18" s="6" t="s">
        <x:v>71</x:v>
      </x:c>
      <x:c r="D18" s="6" t="s">
        <x:v>86</x:v>
      </x:c>
      <x:c r="E18" s="6" t="s">
        <x:v>67</x:v>
      </x:c>
      <x:c r="F18" s="6" t="s">
        <x:v>90</x:v>
      </x:c>
    </x:row>
    <x:row r="19" ht="25.5" customHeight="1">
      <x:c r="A19" s="6" t="s">
        <x:v>91</x:v>
      </x:c>
      <x:c r="B19" s="6" t="s">
        <x:v>92</x:v>
      </x:c>
      <x:c r="C19" s="6" t="s">
        <x:v>71</x:v>
      </x:c>
      <x:c r="D19" s="6" t="s">
        <x:v>93</x:v>
      </x:c>
      <x:c r="E19" s="6" t="s">
        <x:v>51</x:v>
      </x:c>
      <x:c r="F19" s="6" t="s">
        <x:v>94</x:v>
      </x:c>
    </x:row>
    <x:row r="20" ht="25.5" customHeight="1">
      <x:c r="A20" s="6" t="s">
        <x:v>95</x:v>
      </x:c>
      <x:c r="B20" s="6" t="str">
        <x:v>EM latches K1–K4 · 12 V (switched by IOCTRL RO1–RO4)</x:v>
      </x:c>
      <x:c r="C20" s="6" t="str">
        <x:v>IOCTRL (COTS)</x:v>
      </x:c>
      <x:c r="D20" s="6" t="s">
        <x:v>96</x:v>
      </x:c>
      <x:c r="E20" s="6" t="s">
        <x:v>97</x:v>
      </x:c>
      <x:c r="F20" s="6" t="s">
        <x:v>98</x:v>
      </x:c>
    </x:row>
    <x:row r="21" ht="25.5" customHeight="1">
      <x:c r="A21" s="6" t="s">
        <x:v>99</x:v>
      </x:c>
      <x:c r="B21" s="6" t="str">
        <x:v>Door position sensors ×5 (to IOCTRL DI1–DI5 via JB-DOORS)</x:v>
      </x:c>
      <x:c r="C21" s="6" t="str">
        <x:v>IOCTRL (COTS)</x:v>
      </x:c>
      <x:c r="D21" s="6" t="s">
        <x:v>96</x:v>
      </x:c>
      <x:c r="E21" s="6" t="s">
        <x:v>97</x:v>
      </x:c>
      <x:c r="F21" s="6" t="s">
        <x:v>100</x:v>
      </x:c>
    </x:row>
    <x:row r="22" ht="25.5" customHeight="1">
      <x:c r="A22" s="6" t="s">
        <x:v>101</x:v>
      </x:c>
      <x:c r="B22" s="6" t="s">
        <x:v>102</x:v>
      </x:c>
      <x:c r="C22" s="6" t="s">
        <x:v>71</x:v>
      </x:c>
      <x:c r="D22" s="6" t="s">
        <x:v>103</x:v>
      </x:c>
      <x:c r="E22" s="6" t="s">
        <x:v>51</x:v>
      </x:c>
      <x:c r="F22" s="6" t="s">
        <x:v>94</x:v>
      </x:c>
    </x:row>
    <x:row r="23" ht="25.5" customHeight="1">
      <x:c r="A23" s="6" t="s">
        <x:v>104</x:v>
      </x:c>
      <x:c r="B23" s="6" t="s">
        <x:v>105</x:v>
      </x:c>
      <x:c r="C23" s="6" t="s">
        <x:v>106</x:v>
      </x:c>
      <x:c r="D23" s="6" t="s">
        <x:v>107</x:v>
      </x:c>
      <x:c r="E23" s="6" t="s">
        <x:v>108</x:v>
      </x:c>
      <x:c r="F23" s="6" t="s">
        <x:v>109</x:v>
      </x:c>
    </x:row>
    <x:row r="24" ht="25.5" customHeight="1">
      <x:c r="A24" s="6" t="s">
        <x:v>110</x:v>
      </x:c>
      <x:c r="B24" s="6" t="s">
        <x:v>111</x:v>
      </x:c>
      <x:c r="C24" s="6" t="s">
        <x:v>106</x:v>
      </x:c>
      <x:c r="D24" s="6" t="s">
        <x:v>112</x:v>
      </x:c>
      <x:c r="E24" s="6" t="s">
        <x:v>45</x:v>
      </x:c>
      <x:c r="F24" s="6" t="s">
        <x:v>113</x:v>
      </x:c>
    </x:row>
    <x:row r="25" ht="25.5" customHeight="1">
      <x:c r="A25" s="6" t="s">
        <x:v>114</x:v>
      </x:c>
      <x:c r="B25" s="6" t="s">
        <x:v>115</x:v>
      </x:c>
      <x:c r="C25" s="6" t="s">
        <x:v>116</x:v>
      </x:c>
      <x:c r="D25" s="6" t="s">
        <x:v>117</x:v>
      </x:c>
      <x:c r="E25" s="6" t="s">
        <x:v>118</x:v>
      </x:c>
      <x:c r="F25" s="6" t="s">
        <x:v>119</x:v>
      </x:c>
    </x:row>
    <x:row r="26" ht="25.5" customHeight="1">
      <x:c r="A26" s="14" t="s">
        <x:v>120</x:v>
      </x:c>
      <x:c r="B26" s="14" t="s">
        <x:v>121</x:v>
      </x:c>
      <x:c r="C26" s="14" t="str">
        <x:v>IOCTRL (COTS)</x:v>
      </x:c>
      <x:c r="D26" s="14" t="s">
        <x:v>96</x:v>
      </x:c>
      <x:c r="E26" s="14" t="s">
        <x:v>97</x:v>
      </x:c>
      <x:c r="F26" s="14" t="s">
        <x:v>122</x:v>
      </x:c>
    </x:row>
    <x:row r="27" ht="25.5" customHeight="1"/>
    <x:row r="28" ht="25.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7" customWidth="1"/>
    <x:col min="2" max="2" width="42" customWidth="1"/>
    <x:col min="3" max="3" width="40" customWidth="1"/>
    <x:col min="4" max="4" width="52" customWidth="1"/>
    <x:col min="5" max="5" width="40" customWidth="1"/>
    <x:col min="6" max="6" width="6" customWidth="1"/>
    <x:col min="7" max="7" width="12" customWidth="1"/>
    <x:col min="8" max="8" width="11" customWidth="1"/>
    <x:col min="9" max="9" width="10" customWidth="1"/>
    <x:col min="10" max="10" width="16" customWidth="1"/>
  </x:cols>
  <x:sheetData>
    <x:row r="1" ht="18" customHeight="1">
      <x:c r="A1" s="1" t="s">
        <x:v>123</x:v>
      </x:c>
    </x:row>
    <x:row r="2">
      <x:c r="A2" s="2" t="s">
        <x:v>124</x:v>
      </x:c>
    </x:row>
    <x:row r="4" ht="30" customHeight="1">
      <x:c r="A4" s="5" t="s">
        <x:v>125</x:v>
      </x:c>
      <x:c r="B4" s="5" t="s">
        <x:v>126</x:v>
      </x:c>
      <x:c r="C4" s="5" t="s">
        <x:v>127</x:v>
      </x:c>
      <x:c r="D4" s="5" t="s">
        <x:v>128</x:v>
      </x:c>
      <x:c r="E4" s="5" t="s">
        <x:v>129</x:v>
      </x:c>
      <x:c r="F4" s="5" t="s">
        <x:v>130</x:v>
      </x:c>
      <x:c r="G4" s="5" t="s">
        <x:v>131</x:v>
      </x:c>
      <x:c r="H4" s="5" t="s">
        <x:v>132</x:v>
      </x:c>
      <x:c r="I4" s="5" t="s">
        <x:v>133</x:v>
      </x:c>
      <x:c r="J4" s="5" t="s">
        <x:v>134</x:v>
      </x:c>
    </x:row>
    <x:row r="5">
      <x:c r="A5" s="6" t="s">
        <x:v>135</x:v>
      </x:c>
      <x:c r="B5" s="6" t="s">
        <x:v>136</x:v>
      </x:c>
      <x:c r="C5" s="6" t="s">
        <x:v>137</x:v>
      </x:c>
      <x:c r="D5" s="6" t="s">
        <x:v>138</x:v>
      </x:c>
      <x:c r="E5" s="6" t="s">
        <x:v>139</x:v>
      </x:c>
      <x:c r="F5" s="7">
        <x:v>1</x:v>
      </x:c>
      <x:c r="G5" s="8">
        <x:v>0.4</x:v>
      </x:c>
      <x:c r="H5" s="9" t="n">
        <x:f t="shared" ref="H5:H38" si="0">F5*G5</x:f>
        <x:v>0.4</x:v>
      </x:c>
      <x:c r="I5" s="7">
        <x:v>0</x:v>
      </x:c>
      <x:c r="J5" s="9" t="n">
        <x:f t="shared" ref="J5:J38" si="1">F5*G5*I5*1.2</x:f>
        <x:v>0</x:v>
      </x:c>
    </x:row>
    <x:row r="6">
      <x:c r="A6" s="6" t="s">
        <x:v>140</x:v>
      </x:c>
      <x:c r="B6" s="6" t="s">
        <x:v>141</x:v>
      </x:c>
      <x:c r="C6" s="6" t="s">
        <x:v>142</x:v>
      </x:c>
      <x:c r="D6" s="6" t="s">
        <x:v>138</x:v>
      </x:c>
      <x:c r="E6" s="6" t="s">
        <x:v>139</x:v>
      </x:c>
      <x:c r="F6" s="7">
        <x:v>1</x:v>
      </x:c>
      <x:c r="G6" s="8">
        <x:v>0.4</x:v>
      </x:c>
      <x:c r="H6" s="9">
        <x:f t="shared" si="0"/>
        <x:v>0.4</x:v>
      </x:c>
      <x:c r="I6" s="7">
        <x:v>0</x:v>
      </x:c>
      <x:c r="J6" s="9">
        <x:f t="shared" si="1"/>
        <x:v>0</x:v>
      </x:c>
    </x:row>
    <x:row r="7">
      <x:c r="A7" s="6" t="s">
        <x:v>143</x:v>
      </x:c>
      <x:c r="B7" s="6" t="s">
        <x:v>144</x:v>
      </x:c>
      <x:c r="C7" s="6" t="s">
        <x:v>145</x:v>
      </x:c>
      <x:c r="D7" s="6" t="s">
        <x:v>138</x:v>
      </x:c>
      <x:c r="E7" s="6" t="s">
        <x:v>146</x:v>
      </x:c>
      <x:c r="F7" s="7">
        <x:v>1</x:v>
      </x:c>
      <x:c r="G7" s="8">
        <x:v>0.4</x:v>
      </x:c>
      <x:c r="H7" s="9">
        <x:f t="shared" si="0"/>
        <x:v>0.4</x:v>
      </x:c>
      <x:c r="I7" s="7">
        <x:v>0</x:v>
      </x:c>
      <x:c r="J7" s="9">
        <x:f t="shared" si="1"/>
        <x:v>0</x:v>
      </x:c>
    </x:row>
    <x:row r="8">
      <x:c r="A8" s="6" t="s">
        <x:v>147</x:v>
      </x:c>
      <x:c r="B8" s="6" t="s">
        <x:v>148</x:v>
      </x:c>
      <x:c r="C8" s="6" t="s">
        <x:v>149</x:v>
      </x:c>
      <x:c r="D8" s="6" t="s">
        <x:v>150</x:v>
      </x:c>
      <x:c r="E8" s="6" t="s">
        <x:v>151</x:v>
      </x:c>
      <x:c r="F8" s="7">
        <x:v>1</x:v>
      </x:c>
      <x:c r="G8" s="8">
        <x:v>0.5</x:v>
      </x:c>
      <x:c r="H8" s="9">
        <x:f t="shared" si="0"/>
        <x:v>0.5</x:v>
      </x:c>
      <x:c r="I8" s="7">
        <x:v>0</x:v>
      </x:c>
      <x:c r="J8" s="9">
        <x:f t="shared" si="1"/>
        <x:v>0</x:v>
      </x:c>
    </x:row>
    <x:row r="9">
      <x:c r="A9" s="6" t="s">
        <x:v>152</x:v>
      </x:c>
      <x:c r="B9" s="6" t="s">
        <x:v>153</x:v>
      </x:c>
      <x:c r="C9" s="6" t="s">
        <x:v>154</x:v>
      </x:c>
      <x:c r="D9" s="6" t="s">
        <x:v>155</x:v>
      </x:c>
      <x:c r="E9" s="6" t="s">
        <x:v>151</x:v>
      </x:c>
      <x:c r="F9" s="7">
        <x:v>1</x:v>
      </x:c>
      <x:c r="G9" s="8">
        <x:v>0.5</x:v>
      </x:c>
      <x:c r="H9" s="9">
        <x:f t="shared" si="0"/>
        <x:v>0.5</x:v>
      </x:c>
      <x:c r="I9" s="7">
        <x:v>0</x:v>
      </x:c>
      <x:c r="J9" s="9">
        <x:f t="shared" si="1"/>
        <x:v>0</x:v>
      </x:c>
    </x:row>
    <x:row r="10">
      <x:c r="A10" s="6" t="s">
        <x:v>156</x:v>
      </x:c>
      <x:c r="B10" s="6" t="s">
        <x:v>157</x:v>
      </x:c>
      <x:c r="C10" s="6" t="s">
        <x:v>158</x:v>
      </x:c>
      <x:c r="D10" s="6" t="s">
        <x:v>159</x:v>
      </x:c>
      <x:c r="E10" s="6" t="s">
        <x:v>151</x:v>
      </x:c>
      <x:c r="F10" s="7">
        <x:v>1</x:v>
      </x:c>
      <x:c r="G10" s="8">
        <x:v>0.5</x:v>
      </x:c>
      <x:c r="H10" s="9">
        <x:f t="shared" si="0"/>
        <x:v>0.5</x:v>
      </x:c>
      <x:c r="I10" s="7">
        <x:v>0</x:v>
      </x:c>
      <x:c r="J10" s="9">
        <x:f t="shared" si="1"/>
        <x:v>0</x:v>
      </x:c>
    </x:row>
    <x:row r="11" ht="25.5" customHeight="1">
      <x:c r="A11" s="6" t="s">
        <x:v>160</x:v>
      </x:c>
      <x:c r="B11" s="6" t="s">
        <x:v>161</x:v>
      </x:c>
      <x:c r="C11" s="6" t="s">
        <x:v>162</x:v>
      </x:c>
      <x:c r="D11" s="6" t="s">
        <x:v>163</x:v>
      </x:c>
      <x:c r="E11" s="6" t="s">
        <x:v>164</x:v>
      </x:c>
      <x:c r="F11" s="7">
        <x:v>1</x:v>
      </x:c>
      <x:c r="G11" s="8">
        <x:v>0.5</x:v>
      </x:c>
      <x:c r="H11" s="9">
        <x:f t="shared" si="0"/>
        <x:v>0.5</x:v>
      </x:c>
      <x:c r="I11" s="7">
        <x:v>1</x:v>
      </x:c>
      <x:c r="J11" s="9">
        <x:f t="shared" si="1"/>
        <x:v>0.6</x:v>
      </x:c>
    </x:row>
    <x:row r="12">
      <x:c r="A12" s="6" t="s">
        <x:v>165</x:v>
      </x:c>
      <x:c r="B12" s="6" t="s">
        <x:v>166</x:v>
      </x:c>
      <x:c r="C12" s="6" t="s">
        <x:v>167</x:v>
      </x:c>
      <x:c r="D12" s="6" t="s">
        <x:v>168</x:v>
      </x:c>
      <x:c r="E12" s="6" t="s">
        <x:v>169</x:v>
      </x:c>
      <x:c r="F12" s="7">
        <x:v>1</x:v>
      </x:c>
      <x:c r="G12" s="8">
        <x:v>0.5</x:v>
      </x:c>
      <x:c r="H12" s="9">
        <x:f t="shared" si="0"/>
        <x:v>0.5</x:v>
      </x:c>
      <x:c r="I12" s="7">
        <x:v>1</x:v>
      </x:c>
      <x:c r="J12" s="9">
        <x:f t="shared" si="1"/>
        <x:v>0.6</x:v>
      </x:c>
    </x:row>
    <x:row r="13" ht="25.5" customHeight="1">
      <x:c r="A13" s="6" t="s">
        <x:v>170</x:v>
      </x:c>
      <x:c r="B13" s="6" t="s">
        <x:v>171</x:v>
      </x:c>
      <x:c r="C13" s="6" t="s">
        <x:v>172</x:v>
      </x:c>
      <x:c r="D13" s="6" t="s">
        <x:v>173</x:v>
      </x:c>
      <x:c r="E13" s="6" t="s">
        <x:v>174</x:v>
      </x:c>
      <x:c r="F13" s="7">
        <x:v>1</x:v>
      </x:c>
      <x:c r="G13" s="8">
        <x:v>0.5</x:v>
      </x:c>
      <x:c r="H13" s="9">
        <x:f t="shared" si="0"/>
        <x:v>0.5</x:v>
      </x:c>
      <x:c r="I13" s="7">
        <x:v>1</x:v>
      </x:c>
      <x:c r="J13" s="9">
        <x:f t="shared" si="1"/>
        <x:v>0.6</x:v>
      </x:c>
    </x:row>
    <x:row r="14">
      <x:c r="A14" s="6" t="s">
        <x:v>175</x:v>
      </x:c>
      <x:c r="B14" s="6" t="s">
        <x:v>176</x:v>
      </x:c>
      <x:c r="C14" s="6" t="s">
        <x:v>177</x:v>
      </x:c>
      <x:c r="D14" s="6" t="s">
        <x:v>178</x:v>
      </x:c>
      <x:c r="E14" s="6" t="s">
        <x:v>179</x:v>
      </x:c>
      <x:c r="F14" s="7">
        <x:v>1</x:v>
      </x:c>
      <x:c r="G14" s="8">
        <x:v>1.2</x:v>
      </x:c>
      <x:c r="H14" s="9">
        <x:f t="shared" si="0"/>
        <x:v>1.2</x:v>
      </x:c>
      <x:c r="I14" s="7">
        <x:v>0</x:v>
      </x:c>
      <x:c r="J14" s="9">
        <x:f t="shared" si="1"/>
        <x:v>0</x:v>
      </x:c>
    </x:row>
    <x:row r="15">
      <x:c r="A15" s="6" t="s">
        <x:v>180</x:v>
      </x:c>
      <x:c r="B15" s="6" t="s">
        <x:v>181</x:v>
      </x:c>
      <x:c r="C15" s="6" t="s">
        <x:v>182</x:v>
      </x:c>
      <x:c r="D15" s="6" t="s">
        <x:v>183</x:v>
      </x:c>
      <x:c r="E15" s="6" t="s">
        <x:v>179</x:v>
      </x:c>
      <x:c r="F15" s="7">
        <x:v>1</x:v>
      </x:c>
      <x:c r="G15" s="8">
        <x:v>2.2000000000000002</x:v>
      </x:c>
      <x:c r="H15" s="9">
        <x:f t="shared" si="0"/>
        <x:v>2.2000000000000002</x:v>
      </x:c>
      <x:c r="I15" s="7">
        <x:v>0</x:v>
      </x:c>
      <x:c r="J15" s="9">
        <x:f t="shared" si="1"/>
        <x:v>0</x:v>
      </x:c>
    </x:row>
    <x:row r="16" ht="25.5" customHeight="1">
      <x:c r="A16" s="6" t="s">
        <x:v>184</x:v>
      </x:c>
      <x:c r="B16" s="6" t="s">
        <x:v>185</x:v>
      </x:c>
      <x:c r="C16" s="6" t="s">
        <x:v>186</x:v>
      </x:c>
      <x:c r="D16" s="6" t="s">
        <x:v>187</x:v>
      </x:c>
      <x:c r="E16" s="6" t="s">
        <x:v>188</x:v>
      </x:c>
      <x:c r="F16" s="7">
        <x:v>1</x:v>
      </x:c>
      <x:c r="G16" s="8">
        <x:v>0.4</x:v>
      </x:c>
      <x:c r="H16" s="9">
        <x:f t="shared" si="0"/>
        <x:v>0.4</x:v>
      </x:c>
      <x:c r="I16" s="7">
        <x:v>1</x:v>
      </x:c>
      <x:c r="J16" s="9">
        <x:f t="shared" si="1"/>
        <x:v>0.48</x:v>
      </x:c>
    </x:row>
    <x:row r="17">
      <x:c r="A17" s="6" t="s">
        <x:v>189</x:v>
      </x:c>
      <x:c r="B17" s="6" t="s">
        <x:v>190</x:v>
      </x:c>
      <x:c r="C17" s="6" t="str">
        <x:v>MAINCTRL → rear RJ45 bulkhead (McMaster 1422N13)</x:v>
      </x:c>
      <x:c r="D17" s="6" t="s">
        <x:v>191</x:v>
      </x:c>
      <x:c r="E17" s="6" t="s">
        <x:v>192</x:v>
      </x:c>
      <x:c r="F17" s="7">
        <x:v>1</x:v>
      </x:c>
      <x:c r="G17" s="8">
        <x:v>0.5</x:v>
      </x:c>
      <x:c r="H17" s="9">
        <x:f t="shared" si="0"/>
        <x:v>0.5</x:v>
      </x:c>
      <x:c r="I17" s="7">
        <x:v>0</x:v>
      </x:c>
      <x:c r="J17" s="9">
        <x:f t="shared" si="1"/>
        <x:v>0</x:v>
      </x:c>
    </x:row>
    <x:row r="18" ht="25.5">
      <x:c r="A18" s="6" t="s">
        <x:v>193</x:v>
      </x:c>
      <x:c r="B18" s="6" t="s">
        <x:v>194</x:v>
      </x:c>
      <x:c r="C18" s="6" t="s">
        <x:v>195</x:v>
      </x:c>
      <x:c r="D18" s="6" t="s">
        <x:v>196</x:v>
      </x:c>
      <x:c r="E18" s="6" t="s">
        <x:v>197</x:v>
      </x:c>
      <x:c r="F18" s="7">
        <x:v>2</x:v>
      </x:c>
      <x:c r="G18" s="8">
        <x:v>0.3</x:v>
      </x:c>
      <x:c r="H18" s="9">
        <x:f t="shared" si="0"/>
        <x:v>0.6</x:v>
      </x:c>
      <x:c r="I18" s="7">
        <x:v>0</x:v>
      </x:c>
      <x:c r="J18" s="9">
        <x:f t="shared" si="1"/>
        <x:v>0</x:v>
      </x:c>
    </x:row>
    <x:row r="19" ht="25.5" customHeight="1">
      <x:c r="A19" s="6" t="s">
        <x:v>198</x:v>
      </x:c>
      <x:c r="B19" s="6" t="s">
        <x:v>199</x:v>
      </x:c>
      <x:c r="C19" s="6" t="s">
        <x:v>200</x:v>
      </x:c>
      <x:c r="D19" s="6" t="s">
        <x:v>201</x:v>
      </x:c>
      <x:c r="E19" s="6" t="s">
        <x:v>202</x:v>
      </x:c>
      <x:c r="F19" s="7">
        <x:v>1</x:v>
      </x:c>
      <x:c r="G19" s="8">
        <x:v>1.2</x:v>
      </x:c>
      <x:c r="H19" s="9">
        <x:f t="shared" si="0"/>
        <x:v>1.2</x:v>
      </x:c>
      <x:c r="I19" s="7">
        <x:v>3</x:v>
      </x:c>
      <x:c r="J19" s="9">
        <x:f t="shared" si="1"/>
        <x:v>4.3199999999999994</x:v>
      </x:c>
    </x:row>
    <x:row r="20">
      <x:c r="A20" s="6" t="s">
        <x:v>203</x:v>
      </x:c>
      <x:c r="B20" s="6" t="s">
        <x:v>204</x:v>
      </x:c>
      <x:c r="C20" s="6" t="s">
        <x:v>205</x:v>
      </x:c>
      <x:c r="D20" s="6" t="s">
        <x:v>206</x:v>
      </x:c>
      <x:c r="E20" s="6" t="s">
        <x:v>202</x:v>
      </x:c>
      <x:c r="F20" s="7">
        <x:v>1</x:v>
      </x:c>
      <x:c r="G20" s="8">
        <x:v>2.2000000000000002</x:v>
      </x:c>
      <x:c r="H20" s="9">
        <x:f t="shared" si="0"/>
        <x:v>2.2000000000000002</x:v>
      </x:c>
      <x:c r="I20" s="7">
        <x:v>3</x:v>
      </x:c>
      <x:c r="J20" s="9">
        <x:f t="shared" si="1"/>
        <x:v>7.92</x:v>
      </x:c>
    </x:row>
    <x:row r="21" ht="25.5" customHeight="1">
      <x:c r="A21" s="6" t="s">
        <x:v>207</x:v>
      </x:c>
      <x:c r="B21" s="6" t="s">
        <x:v>208</x:v>
      </x:c>
      <x:c r="C21" s="6" t="s">
        <x:v>209</x:v>
      </x:c>
      <x:c r="D21" s="6" t="s">
        <x:v>210</x:v>
      </x:c>
      <x:c r="E21" s="6" t="s">
        <x:v>211</x:v>
      </x:c>
      <x:c r="F21" s="7">
        <x:v>1</x:v>
      </x:c>
      <x:c r="G21" s="8">
        <x:v>3.8</x:v>
      </x:c>
      <x:c r="H21" s="9">
        <x:f t="shared" si="0"/>
        <x:v>3.8</x:v>
      </x:c>
      <x:c r="I21" s="7">
        <x:v>1</x:v>
      </x:c>
      <x:c r="J21" s="9">
        <x:f t="shared" si="1"/>
        <x:v>4.5599999999999996</x:v>
      </x:c>
    </x:row>
    <x:row r="22" ht="25.5" customHeight="1">
      <x:c r="A22" s="6" t="s">
        <x:v>212</x:v>
      </x:c>
      <x:c r="B22" s="6" t="s">
        <x:v>213</x:v>
      </x:c>
      <x:c r="C22" s="6" t="s">
        <x:v>214</x:v>
      </x:c>
      <x:c r="D22" s="6" t="s">
        <x:v>215</x:v>
      </x:c>
      <x:c r="E22" s="6" t="s">
        <x:v>216</x:v>
      </x:c>
      <x:c r="F22" s="7">
        <x:v>1</x:v>
      </x:c>
      <x:c r="G22" s="8">
        <x:v>2</x:v>
      </x:c>
      <x:c r="H22" s="9">
        <x:f t="shared" si="0"/>
        <x:v>2</x:v>
      </x:c>
      <x:c r="I22" s="7">
        <x:v>3</x:v>
      </x:c>
      <x:c r="J22" s="9">
        <x:f t="shared" si="1"/>
        <x:v>7.1999999999999993</x:v>
      </x:c>
    </x:row>
    <x:row r="23" ht="25.5" customHeight="1">
      <x:c r="A23" s="6" t="s">
        <x:v>217</x:v>
      </x:c>
      <x:c r="B23" s="6" t="s">
        <x:v>218</x:v>
      </x:c>
      <x:c r="C23" s="6" t="s">
        <x:v>219</x:v>
      </x:c>
      <x:c r="D23" s="6" t="s">
        <x:v>220</x:v>
      </x:c>
      <x:c r="E23" s="6" t="s">
        <x:v>221</x:v>
      </x:c>
      <x:c r="F23" s="7">
        <x:v>6</x:v>
      </x:c>
      <x:c r="G23" s="8">
        <x:v>1</x:v>
      </x:c>
      <x:c r="H23" s="9">
        <x:f t="shared" si="0"/>
        <x:v>6</x:v>
      </x:c>
      <x:c r="I23" s="7">
        <x:v>0</x:v>
      </x:c>
      <x:c r="J23" s="9">
        <x:f t="shared" si="1"/>
        <x:v>0</x:v>
      </x:c>
    </x:row>
    <x:row r="24" ht="25.5" customHeight="1">
      <x:c r="A24" s="6" t="s">
        <x:v>222</x:v>
      </x:c>
      <x:c r="B24" s="6" t="s">
        <x:v>223</x:v>
      </x:c>
      <x:c r="C24" s="6" t="s">
        <x:v>224</x:v>
      </x:c>
      <x:c r="D24" s="6" t="s">
        <x:v>225</x:v>
      </x:c>
      <x:c r="E24" s="6" t="s">
        <x:v>226</x:v>
      </x:c>
      <x:c r="F24" s="7">
        <x:v>1</x:v>
      </x:c>
      <x:c r="G24" s="8">
        <x:v>1.5</x:v>
      </x:c>
      <x:c r="H24" s="9">
        <x:f t="shared" si="0"/>
        <x:v>1.5</x:v>
      </x:c>
      <x:c r="I24" s="7">
        <x:v>1</x:v>
      </x:c>
      <x:c r="J24" s="9">
        <x:f t="shared" si="1"/>
        <x:v>1.7999999999999998</x:v>
      </x:c>
    </x:row>
    <x:row r="25" ht="25.5" customHeight="1">
      <x:c r="A25" s="6" t="s">
        <x:v>227</x:v>
      </x:c>
      <x:c r="B25" s="6" t="s">
        <x:v>228</x:v>
      </x:c>
      <x:c r="C25" s="6" t="s">
        <x:v>229</x:v>
      </x:c>
      <x:c r="D25" s="6" t="s">
        <x:v>225</x:v>
      </x:c>
      <x:c r="E25" s="6" t="s">
        <x:v>226</x:v>
      </x:c>
      <x:c r="F25" s="7">
        <x:v>1</x:v>
      </x:c>
      <x:c r="G25" s="8">
        <x:v>1.5</x:v>
      </x:c>
      <x:c r="H25" s="9">
        <x:f t="shared" si="0"/>
        <x:v>1.5</x:v>
      </x:c>
      <x:c r="I25" s="7">
        <x:v>1</x:v>
      </x:c>
      <x:c r="J25" s="9">
        <x:f t="shared" si="1"/>
        <x:v>1.7999999999999998</x:v>
      </x:c>
    </x:row>
    <x:row r="26" ht="25.5" customHeight="1">
      <x:c r="A26" s="6" t="s">
        <x:v>230</x:v>
      </x:c>
      <x:c r="B26" s="6" t="s">
        <x:v>231</x:v>
      </x:c>
      <x:c r="C26" s="6" t="s">
        <x:v>232</x:v>
      </x:c>
      <x:c r="D26" s="6" t="s">
        <x:v>233</x:v>
      </x:c>
      <x:c r="E26" s="6" t="s">
        <x:v>234</x:v>
      </x:c>
      <x:c r="F26" s="7">
        <x:v>1</x:v>
      </x:c>
      <x:c r="G26" s="8">
        <x:v>1.5</x:v>
      </x:c>
      <x:c r="H26" s="9">
        <x:f t="shared" si="0"/>
        <x:v>1.5</x:v>
      </x:c>
      <x:c r="I26" s="7">
        <x:v>1</x:v>
      </x:c>
      <x:c r="J26" s="9">
        <x:f t="shared" si="1"/>
        <x:v>1.7999999999999998</x:v>
      </x:c>
    </x:row>
    <x:row r="27">
      <x:c r="A27" s="6" t="s">
        <x:v>235</x:v>
      </x:c>
      <x:c r="B27" s="6" t="s">
        <x:v>236</x:v>
      </x:c>
      <x:c r="C27" s="6" t="s">
        <x:v>237</x:v>
      </x:c>
      <x:c r="D27" s="6" t="s">
        <x:v>238</x:v>
      </x:c>
      <x:c r="E27" s="6" t="s">
        <x:v>239</x:v>
      </x:c>
      <x:c r="F27" s="7">
        <x:v>1</x:v>
      </x:c>
      <x:c r="G27" s="8">
        <x:v>1.5</x:v>
      </x:c>
      <x:c r="H27" s="9">
        <x:f t="shared" si="0"/>
        <x:v>1.5</x:v>
      </x:c>
      <x:c r="I27" s="7">
        <x:v>0</x:v>
      </x:c>
      <x:c r="J27" s="9">
        <x:f t="shared" si="1"/>
        <x:v>0</x:v>
      </x:c>
    </x:row>
    <x:row r="28" ht="25.5" customHeight="1">
      <x:c r="A28" s="6" t="s">
        <x:v>240</x:v>
      </x:c>
      <x:c r="B28" s="14" t="str">
        <x:v>WR_ADHERENT_IOCTRL_TO_LATCH12_R1</x:v>
      </x:c>
      <x:c r="C28" s="14" t="str">
        <x:v>IOCTRL RO1 / RO2 → K1 main + K2 retrieval latch</x:v>
      </x:c>
      <x:c r="D28" s="6" t="s">
        <x:v>241</x:v>
      </x:c>
      <x:c r="E28" s="14" t="str">
        <x:v>ferrule (IOCTRL relay terminals) → 2 × Micro-Fit 2</x:v>
      </x:c>
      <x:c r="F28" s="7">
        <x:v>1</x:v>
      </x:c>
      <x:c r="G28" s="15">
        <x:v>0.8</x:v>
      </x:c>
      <x:c r="H28" s="9">
        <x:f t="shared" si="0"/>
        <x:v>0.8</x:v>
      </x:c>
      <x:c r="I28" s="7">
        <x:v>1</x:v>
      </x:c>
      <x:c r="J28" s="9">
        <x:f t="shared" si="1"/>
        <x:v>0.96</x:v>
      </x:c>
    </x:row>
    <x:row r="29" ht="25.5" customHeight="1">
      <x:c r="A29" s="6" t="s">
        <x:v>242</x:v>
      </x:c>
      <x:c r="B29" s="14" t="str">
        <x:v>WR_ADHERENT_IOCTRL_TO_LATCH34_R1</x:v>
      </x:c>
      <x:c r="C29" s="14" t="str">
        <x:v>IOCTRL RO3 / RO4 → K3 return + K4 table latch</x:v>
      </x:c>
      <x:c r="D29" s="6" t="s">
        <x:v>243</x:v>
      </x:c>
      <x:c r="E29" s="14" t="str">
        <x:v>ferrule (IOCTRL relay terminals) → 2 × Micro-Fit 2</x:v>
      </x:c>
      <x:c r="F29" s="7">
        <x:v>1</x:v>
      </x:c>
      <x:c r="G29" s="15">
        <x:v>0.8</x:v>
      </x:c>
      <x:c r="H29" s="9">
        <x:f t="shared" si="0"/>
        <x:v>0.8</x:v>
      </x:c>
      <x:c r="I29" s="7">
        <x:v>1</x:v>
      </x:c>
      <x:c r="J29" s="9">
        <x:f t="shared" si="1"/>
        <x:v>0.96</x:v>
      </x:c>
    </x:row>
    <x:row r="30" ht="25.5" customHeight="1">
      <x:c r="A30" s="6" t="s">
        <x:v>244</x:v>
      </x:c>
      <x:c r="B30" s="14" t="str">
        <x:v>WR_ADHERENT_IOCTRL_TO_JBDOORS_R1</x:v>
      </x:c>
      <x:c r="C30" s="14" t="str">
        <x:v>IOCTRL DI1–DI5 → JB-DOORS</x:v>
      </x:c>
      <x:c r="D30" s="6" t="s">
        <x:v>245</x:v>
      </x:c>
      <x:c r="E30" s="14" t="str">
        <x:v>ferrule (IOCTRL DI terminals) → ferrule + WAGO 221</x:v>
      </x:c>
      <x:c r="F30" s="7">
        <x:v>1</x:v>
      </x:c>
      <x:c r="G30" s="15">
        <x:v>0.6</x:v>
      </x:c>
      <x:c r="H30" s="9">
        <x:f t="shared" si="0"/>
        <x:v>0.6</x:v>
      </x:c>
      <x:c r="I30" s="7">
        <x:v>2</x:v>
      </x:c>
      <x:c r="J30" s="9">
        <x:f t="shared" si="1"/>
        <x:v>1.44</x:v>
      </x:c>
    </x:row>
    <x:row r="31" ht="25.5" customHeight="1">
      <x:c r="A31" s="6" t="s">
        <x:v>246</x:v>
      </x:c>
      <x:c r="B31" s="6" t="s">
        <x:v>247</x:v>
      </x:c>
      <x:c r="C31" s="6" t="s">
        <x:v>248</x:v>
      </x:c>
      <x:c r="D31" s="6" t="s">
        <x:v>249</x:v>
      </x:c>
      <x:c r="E31" s="6" t="s">
        <x:v>250</x:v>
      </x:c>
      <x:c r="F31" s="7">
        <x:v>5</x:v>
      </x:c>
      <x:c r="G31" s="8">
        <x:v>1</x:v>
      </x:c>
      <x:c r="H31" s="9">
        <x:f t="shared" si="0"/>
        <x:v>5</x:v>
      </x:c>
      <x:c r="I31" s="7">
        <x:v>1</x:v>
      </x:c>
      <x:c r="J31" s="9">
        <x:f t="shared" si="1"/>
        <x:v>6</x:v>
      </x:c>
    </x:row>
    <x:row r="32" ht="25.5" customHeight="1">
      <x:c r="A32" s="6" t="s">
        <x:v>251</x:v>
      </x:c>
      <x:c r="B32" s="6" t="s">
        <x:v>252</x:v>
      </x:c>
      <x:c r="C32" s="6" t="s">
        <x:v>253</x:v>
      </x:c>
      <x:c r="D32" s="6" t="s">
        <x:v>254</x:v>
      </x:c>
      <x:c r="E32" s="6" t="s">
        <x:v>255</x:v>
      </x:c>
      <x:c r="F32" s="7">
        <x:v>10</x:v>
      </x:c>
      <x:c r="G32" s="8">
        <x:v>2.4</x:v>
      </x:c>
      <x:c r="H32" s="9">
        <x:f t="shared" si="0"/>
        <x:v>24</x:v>
      </x:c>
      <x:c r="I32" s="7">
        <x:v>1</x:v>
      </x:c>
      <x:c r="J32" s="9">
        <x:f t="shared" si="1"/>
        <x:v>28.799999999999997</x:v>
      </x:c>
    </x:row>
    <x:row r="33" ht="25.5" customHeight="1">
      <x:c r="A33" s="6" t="s">
        <x:v>256</x:v>
      </x:c>
      <x:c r="B33" s="6" t="s">
        <x:v>257</x:v>
      </x:c>
      <x:c r="C33" s="6" t="s">
        <x:v>258</x:v>
      </x:c>
      <x:c r="D33" s="6" t="s">
        <x:v>259</x:v>
      </x:c>
      <x:c r="E33" s="6" t="s">
        <x:v>260</x:v>
      </x:c>
      <x:c r="F33" s="7">
        <x:v>1</x:v>
      </x:c>
      <x:c r="G33" s="8">
        <x:v>1.8</x:v>
      </x:c>
      <x:c r="H33" s="9">
        <x:f t="shared" si="0"/>
        <x:v>1.8</x:v>
      </x:c>
      <x:c r="I33" s="7">
        <x:v>1</x:v>
      </x:c>
      <x:c r="J33" s="9">
        <x:f t="shared" si="1"/>
        <x:v>2.16</x:v>
      </x:c>
    </x:row>
    <x:row r="34" ht="25.5" customHeight="1">
      <x:c r="A34" s="6" t="s">
        <x:v>261</x:v>
      </x:c>
      <x:c r="B34" s="6" t="s">
        <x:v>262</x:v>
      </x:c>
      <x:c r="C34" s="6" t="s">
        <x:v>263</x:v>
      </x:c>
      <x:c r="D34" s="6" t="s">
        <x:v>259</x:v>
      </x:c>
      <x:c r="E34" s="6" t="s">
        <x:v>264</x:v>
      </x:c>
      <x:c r="F34" s="7">
        <x:v>9</x:v>
      </x:c>
      <x:c r="G34" s="8">
        <x:v>0.3</x:v>
      </x:c>
      <x:c r="H34" s="9">
        <x:f t="shared" si="0"/>
        <x:v>2.6999999999999997</x:v>
      </x:c>
      <x:c r="I34" s="7">
        <x:v>1</x:v>
      </x:c>
      <x:c r="J34" s="9">
        <x:f t="shared" si="1"/>
        <x:v>3.2399999999999998</x:v>
      </x:c>
    </x:row>
    <x:row r="35" ht="25.5" customHeight="1">
      <x:c r="A35" s="6" t="s">
        <x:v>265</x:v>
      </x:c>
      <x:c r="B35" s="6" t="s">
        <x:v>266</x:v>
      </x:c>
      <x:c r="C35" s="6" t="s">
        <x:v>267</x:v>
      </x:c>
      <x:c r="D35" s="6" t="s">
        <x:v>268</x:v>
      </x:c>
      <x:c r="E35" s="6" t="s">
        <x:v>269</x:v>
      </x:c>
      <x:c r="F35" s="7">
        <x:v>70</x:v>
      </x:c>
      <x:c r="G35" s="8">
        <x:v>0.8</x:v>
      </x:c>
      <x:c r="H35" s="9">
        <x:f t="shared" si="0"/>
        <x:v>56</x:v>
      </x:c>
      <x:c r="I35" s="7">
        <x:v>1</x:v>
      </x:c>
      <x:c r="J35" s="9">
        <x:f t="shared" si="1"/>
        <x:v>67.2</x:v>
      </x:c>
    </x:row>
    <x:row r="36" ht="25.5" customHeight="1">
      <x:c r="A36" s="6" t="s">
        <x:v>270</x:v>
      </x:c>
      <x:c r="B36" s="14" t="str">
        <x:v>WR_ADHERENT_IOCTRL_TO_DOORACT_R1</x:v>
      </x:c>
      <x:c r="C36" s="14" t="str">
        <x:v>IOCTRL RO5–RO8 (reversing pairs) → future door actuators</x:v>
      </x:c>
      <x:c r="D36" s="6" t="s">
        <x:v>271</x:v>
      </x:c>
      <x:c r="E36" s="14" t="str">
        <x:v>ferrule (IOCTRL relay terminals) → TBD</x:v>
      </x:c>
      <x:c r="F36" s="7">
        <x:v>0</x:v>
      </x:c>
      <x:c r="G36" s="8">
        <x:v>0</x:v>
      </x:c>
      <x:c r="H36" s="9">
        <x:f t="shared" si="0"/>
        <x:v>0</x:v>
      </x:c>
      <x:c r="I36" s="7">
        <x:v>1</x:v>
      </x:c>
      <x:c r="J36" s="9">
        <x:f t="shared" si="1"/>
        <x:v>0</x:v>
      </x:c>
    </x:row>
    <x:row r="37" ht="25.5" customHeight="1">
      <x:c r="A37" s="14" t="s">
        <x:v>272</x:v>
      </x:c>
      <x:c r="B37" s="14" t="str">
        <x:v>WR_ADHERENT_MAINCTRL_TO_IOCTRL_R1</x:v>
      </x:c>
      <x:c r="C37" s="14" t="str">
        <x:v>MAINCTRL RS485 port → IOCTRL RS485</x:v>
      </x:c>
      <x:c r="D37" s="14" t="s">
        <x:v>273</x:v>
      </x:c>
      <x:c r="E37" s="14" t="str">
        <x:v>ferrule (MYD RS485 terminal) ↔ ferrule (IOCTRL RS485 terminal)</x:v>
      </x:c>
      <x:c r="F37" s="16">
        <x:v>1</x:v>
      </x:c>
      <x:c r="G37" s="15">
        <x:v>1.5</x:v>
      </x:c>
      <x:c r="H37" s="17">
        <x:f t="shared" si="0"/>
        <x:v>1.5</x:v>
      </x:c>
      <x:c r="I37" s="16">
        <x:v>1</x:v>
      </x:c>
      <x:c r="J37" s="17">
        <x:f t="shared" si="1"/>
        <x:v>1.7999999999999998</x:v>
      </x:c>
    </x:row>
    <x:row r="38" ht="25.5" customHeight="1">
      <x:c r="A38" s="14" t="s">
        <x:v>274</x:v>
      </x:c>
      <x:c r="B38" s="14" t="str">
        <x:v>WR_ADHERENT_DIST_TO_IOCTRL_R1</x:v>
      </x:c>
      <x:c r="C38" s="14" t="str">
        <x:v>F17 → IOCTRL power + latch 12 V</x:v>
      </x:c>
      <x:c r="D38" s="14" t="s">
        <x:v>163</x:v>
      </x:c>
      <x:c r="E38" s="14" t="str">
        <x:v>ferrule (fuse block) → ferrule (IOCTRL power terminal)</x:v>
      </x:c>
      <x:c r="F38" s="16">
        <x:v>1</x:v>
      </x:c>
      <x:c r="G38" s="15">
        <x:v>1.5</x:v>
      </x:c>
      <x:c r="H38" s="17">
        <x:f t="shared" si="0"/>
        <x:v>1.5</x:v>
      </x:c>
      <x:c r="I38" s="16">
        <x:v>1</x:v>
      </x:c>
      <x:c r="J38" s="17">
        <x:f t="shared" si="1"/>
        <x:v>1.7999999999999998</x:v>
      </x:c>
    </x:row>
    <x:row r="39" ht="25.5" customHeight="1">
      <x:c r="A39" s="10"/>
      <x:c r="B39" s="11" t="s">
        <x:v>275</x:v>
      </x:c>
      <x:c r="C39" s="10"/>
      <x:c r="D39" s="10"/>
      <x:c r="E39" s="10"/>
      <x:c r="F39" s="11" t="n">
        <x:f>SUM(F5:F38)</x:f>
        <x:v>129</x:v>
      </x:c>
      <x:c r="G39" s="10"/>
      <x:c r="H39" s="12" t="n">
        <x:f>SUM(H5:H38)</x:f>
        <x:v>125</x:v>
      </x:c>
      <x:c r="I39" s="10"/>
      <x:c r="J39" s="12" t="n">
        <x:f>SUM(J5:J38)</x:f>
        <x:v>146.04000000000002</x:v>
      </x:c>
    </x:row>
    <x:row r="40" ht="25.5" customHeight="1"/>
    <x:row r="41">
      <x:c r="A41" s="2" t="s">
        <x:v>276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5" customWidth="1"/>
    <x:col min="2" max="2" width="40" customWidth="1"/>
    <x:col min="3" max="3" width="26" customWidth="1"/>
    <x:col min="4" max="4" width="40" customWidth="1"/>
    <x:col min="5" max="5" width="70" customWidth="1"/>
    <x:col min="6" max="6" width="34" customWidth="1"/>
    <x:col min="7" max="7" width="6" customWidth="1"/>
    <x:col min="8" max="8" width="22" customWidth="1"/>
    <x:col min="9" max="9" width="24" customWidth="1"/>
  </x:cols>
  <x:sheetData>
    <x:row r="1" ht="18" customHeight="1">
      <x:c r="A1" s="1" t="s">
        <x:v>277</x:v>
      </x:c>
    </x:row>
    <x:row r="2">
      <x:c r="A2" s="2" t="s">
        <x:v>278</x:v>
      </x:c>
    </x:row>
    <x:row r="4" ht="30" customHeight="1">
      <x:c r="A4" s="5" t="s">
        <x:v>279</x:v>
      </x:c>
      <x:c r="B4" s="5" t="s">
        <x:v>280</x:v>
      </x:c>
      <x:c r="C4" s="5" t="s">
        <x:v>281</x:v>
      </x:c>
      <x:c r="D4" s="5" t="s">
        <x:v>282</x:v>
      </x:c>
      <x:c r="E4" s="5" t="s">
        <x:v>283</x:v>
      </x:c>
      <x:c r="F4" s="5" t="s">
        <x:v>284</x:v>
      </x:c>
      <x:c r="G4" s="5" t="s">
        <x:v>130</x:v>
      </x:c>
      <x:c r="H4" s="5" t="s">
        <x:v>285</x:v>
      </x:c>
      <x:c r="I4" s="5" t="s">
        <x:v>286</x:v>
      </x:c>
    </x:row>
    <x:row r="5" ht="38.25" customHeight="1">
      <x:c r="A5" s="6" t="s">
        <x:v>287</x:v>
      </x:c>
      <x:c r="B5" s="6" t="s">
        <x:v>288</x:v>
      </x:c>
      <x:c r="C5" s="6" t="s">
        <x:v>289</x:v>
      </x:c>
      <x:c r="D5" s="6" t="s">
        <x:v>290</x:v>
      </x:c>
      <x:c r="E5" s="6" t="s">
        <x:v>291</x:v>
      </x:c>
      <x:c r="F5" s="6" t="s">
        <x:v>292</x:v>
      </x:c>
      <x:c r="G5" s="6" t="s">
        <x:v>287</x:v>
      </x:c>
      <x:c r="H5" s="6" t="s">
        <x:v>293</x:v>
      </x:c>
      <x:c r="I5" s="6" t="s">
        <x:v>294</x:v>
      </x:c>
    </x:row>
    <x:row r="6" ht="63.75" customHeight="1">
      <x:c r="A6" s="3" t="s">
        <x:v>295</x:v>
      </x:c>
      <x:c r="B6" s="3" t="s">
        <x:v>296</x:v>
      </x:c>
      <x:c r="C6" s="3" t="s">
        <x:v>297</x:v>
      </x:c>
      <x:c r="D6" s="3" t="s">
        <x:v>298</x:v>
      </x:c>
      <x:c r="E6" s="3" t="s">
        <x:v>299</x:v>
      </x:c>
      <x:c r="F6" s="3" t="s">
        <x:v>45</x:v>
      </x:c>
      <x:c r="G6" s="3" t="s">
        <x:v>300</x:v>
      </x:c>
      <x:c r="H6" s="3" t="s">
        <x:v>301</x:v>
      </x:c>
      <x:c r="I6" s="3" t="s">
        <x:v>302</x:v>
      </x:c>
    </x:row>
    <x:row r="7" ht="38.25" customHeight="1">
      <x:c r="A7" s="6" t="s">
        <x:v>303</x:v>
      </x:c>
      <x:c r="B7" s="6" t="s">
        <x:v>304</x:v>
      </x:c>
      <x:c r="C7" s="6" t="s">
        <x:v>305</x:v>
      </x:c>
      <x:c r="D7" s="6" t="s">
        <x:v>306</x:v>
      </x:c>
      <x:c r="E7" s="6" t="str">
        <x:v>X / Z: 2 × differential STEP/DIR/ENA line drivers (5 V, 24 V-tolerant), 2 × ALARM opto inputs, 2 × 24 V brake outputs · chuck: 1 × TMC5160 (NEMA23) + 1 × TMC2209 (NEMA11) · servo PWM + 6.8 V / 3 A buck · 7 opto inputs · stack light · spare outputs (door relays and sensors moved to IOCTRL) · temp / humidity · CAN node · 24 V + 12 V in</x:v>
      </x:c>
      <x:c r="F7" s="6" t="s">
        <x:v>307</x:v>
      </x:c>
      <x:c r="G7" s="6" t="s">
        <x:v>287</x:v>
      </x:c>
      <x:c r="H7" s="6" t="s">
        <x:v>293</x:v>
      </x:c>
      <x:c r="I7" s="6" t="s">
        <x:v>308</x:v>
      </x:c>
    </x:row>
    <x:row r="8" ht="25.5" customHeight="1">
      <x:c r="A8" s="6" t="s">
        <x:v>309</x:v>
      </x:c>
      <x:c r="B8" s="6" t="s">
        <x:v>310</x:v>
      </x:c>
      <x:c r="C8" s="6" t="s">
        <x:v>311</x:v>
      </x:c>
      <x:c r="D8" s="6" t="s">
        <x:v>312</x:v>
      </x:c>
      <x:c r="E8" s="6" t="s">
        <x:v>313</x:v>
      </x:c>
      <x:c r="F8" s="6" t="s">
        <x:v>314</x:v>
      </x:c>
      <x:c r="G8" s="6" t="s">
        <x:v>315</x:v>
      </x:c>
      <x:c r="H8" s="6" t="s">
        <x:v>316</x:v>
      </x:c>
      <x:c r="I8" s="6" t="s">
        <x:v>317</x:v>
      </x:c>
    </x:row>
    <x:row r="9" ht="25.5" customHeight="1">
      <x:c r="A9" s="6" t="s">
        <x:v>318</x:v>
      </x:c>
      <x:c r="B9" s="6" t="s">
        <x:v>319</x:v>
      </x:c>
      <x:c r="C9" s="6" t="s">
        <x:v>320</x:v>
      </x:c>
      <x:c r="D9" s="6" t="s">
        <x:v>321</x:v>
      </x:c>
      <x:c r="E9" s="6" t="s">
        <x:v>322</x:v>
      </x:c>
      <x:c r="F9" s="6" t="s">
        <x:v>45</x:v>
      </x:c>
      <x:c r="G9" s="6" t="s">
        <x:v>287</x:v>
      </x:c>
      <x:c r="H9" s="6" t="s">
        <x:v>293</x:v>
      </x:c>
      <x:c r="I9" s="6" t="s">
        <x:v>323</x:v>
      </x:c>
    </x:row>
    <x:row r="10" ht="25.5" customHeight="1">
      <x:c r="A10" s="6" t="s">
        <x:v>324</x:v>
      </x:c>
      <x:c r="B10" s="6" t="s">
        <x:v>325</x:v>
      </x:c>
      <x:c r="C10" s="6" t="s">
        <x:v>320</x:v>
      </x:c>
      <x:c r="D10" s="6" t="s">
        <x:v>326</x:v>
      </x:c>
      <x:c r="E10" s="6" t="s">
        <x:v>327</x:v>
      </x:c>
      <x:c r="F10" s="6" t="s">
        <x:v>45</x:v>
      </x:c>
      <x:c r="G10" s="6" t="s">
        <x:v>287</x:v>
      </x:c>
      <x:c r="H10" s="6" t="s">
        <x:v>293</x:v>
      </x:c>
      <x:c r="I10" s="6" t="s">
        <x:v>328</x:v>
      </x:c>
    </x:row>
    <x:row r="11" ht="25.5" customHeight="1">
      <x:c r="A11" s="6" t="s">
        <x:v>329</x:v>
      </x:c>
      <x:c r="B11" s="6" t="s">
        <x:v>330</x:v>
      </x:c>
      <x:c r="C11" s="6" t="s">
        <x:v>320</x:v>
      </x:c>
      <x:c r="D11" s="6" t="s">
        <x:v>331</x:v>
      </x:c>
      <x:c r="E11" s="6" t="s">
        <x:v>332</x:v>
      </x:c>
      <x:c r="F11" s="6" t="s">
        <x:v>45</x:v>
      </x:c>
      <x:c r="G11" s="6" t="s">
        <x:v>287</x:v>
      </x:c>
      <x:c r="H11" s="6" t="s">
        <x:v>293</x:v>
      </x:c>
      <x:c r="I11" s="6" t="s">
        <x:v>333</x:v>
      </x:c>
    </x:row>
    <x:row r="12" ht="25.5" customHeight="1">
      <x:c r="A12" s="6" t="s">
        <x:v>334</x:v>
      </x:c>
      <x:c r="B12" s="6" t="s">
        <x:v>335</x:v>
      </x:c>
      <x:c r="C12" s="6" t="s">
        <x:v>336</x:v>
      </x:c>
      <x:c r="D12" s="6" t="s">
        <x:v>337</x:v>
      </x:c>
      <x:c r="E12" s="6" t="s">
        <x:v>338</x:v>
      </x:c>
      <x:c r="F12" s="6" t="s">
        <x:v>45</x:v>
      </x:c>
      <x:c r="G12" s="6" t="s">
        <x:v>295</x:v>
      </x:c>
      <x:c r="H12" s="6" t="s">
        <x:v>339</x:v>
      </x:c>
      <x:c r="I12" s="6" t="s">
        <x:v>340</x:v>
      </x:c>
    </x:row>
    <x:row r="13" ht="25.5" customHeight="1">
      <x:c r="A13" s="6" t="s">
        <x:v>341</x:v>
      </x:c>
      <x:c r="B13" s="6" t="s">
        <x:v>342</x:v>
      </x:c>
      <x:c r="C13" s="6" t="s">
        <x:v>320</x:v>
      </x:c>
      <x:c r="D13" s="6" t="s">
        <x:v>343</x:v>
      </x:c>
      <x:c r="E13" s="6" t="s">
        <x:v>344</x:v>
      </x:c>
      <x:c r="F13" s="6" t="s">
        <x:v>45</x:v>
      </x:c>
      <x:c r="G13" s="6" t="s">
        <x:v>345</x:v>
      </x:c>
      <x:c r="H13" s="6" t="s">
        <x:v>346</x:v>
      </x:c>
      <x:c r="I13" s="6" t="s">
        <x:v>347</x:v>
      </x:c>
    </x:row>
    <x:row r="14" ht="25.5" customHeight="1">
      <x:c r="A14" s="6" t="s">
        <x:v>315</x:v>
      </x:c>
      <x:c r="B14" s="6" t="s">
        <x:v>348</x:v>
      </x:c>
      <x:c r="C14" s="6" t="s">
        <x:v>320</x:v>
      </x:c>
      <x:c r="D14" s="6" t="s">
        <x:v>349</x:v>
      </x:c>
      <x:c r="E14" s="6" t="s">
        <x:v>350</x:v>
      </x:c>
      <x:c r="F14" s="6" t="s">
        <x:v>45</x:v>
      </x:c>
      <x:c r="G14" s="6" t="s">
        <x:v>287</x:v>
      </x:c>
      <x:c r="H14" s="6" t="s">
        <x:v>351</x:v>
      </x:c>
      <x:c r="I14" s="6" t="s">
        <x:v>235</x:v>
      </x:c>
    </x:row>
    <x:row r="15" ht="25.5" customHeight="1">
      <x:c r="A15" s="6" t="s">
        <x:v>352</x:v>
      </x:c>
      <x:c r="B15" s="6" t="s">
        <x:v>353</x:v>
      </x:c>
      <x:c r="C15" s="6" t="s">
        <x:v>320</x:v>
      </x:c>
      <x:c r="D15" s="6" t="s">
        <x:v>354</x:v>
      </x:c>
      <x:c r="E15" s="6" t="s">
        <x:v>355</x:v>
      </x:c>
      <x:c r="F15" s="6" t="s">
        <x:v>45</x:v>
      </x:c>
      <x:c r="G15" s="6" t="s">
        <x:v>287</x:v>
      </x:c>
      <x:c r="H15" s="6" t="s">
        <x:v>356</x:v>
      </x:c>
      <x:c r="I15" s="6" t="s">
        <x:v>71</x:v>
      </x:c>
    </x:row>
    <x:row r="16" ht="25.5" customHeight="1">
      <x:c r="A16" s="14" t="s">
        <x:v>357</x:v>
      </x:c>
      <x:c r="B16" s="14" t="str">
        <x:v>IOCTRL · Waveshare ESP32-S3-ETH-8DI-8RO</x:v>
      </x:c>
      <x:c r="C16" s="14" t="s">
        <x:v>358</x:v>
      </x:c>
      <x:c r="D16" s="14" t="s">
        <x:v>359</x:v>
      </x:c>
      <x:c r="E16" s="14" t="s">
        <x:v>360</x:v>
      </x:c>
      <x:c r="F16" s="14" t="str">
        <x:v>FW_ADHERENT_IOCTRL_R1 (Modbus RTU slave, radios disabled)</x:v>
      </x:c>
      <x:c r="G16" s="14" t="s">
        <x:v>287</x:v>
      </x:c>
      <x:c r="H16" s="14" t="s">
        <x:v>361</x:v>
      </x:c>
      <x:c r="I16" s="14" t="s">
        <x:v>362</x:v>
      </x:c>
    </x:row>
    <x:row r="18" ht="38.25" customHeight="1">
      <x:c r="A18" s="13" t="s">
        <x:v>363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8" customWidth="1"/>
    <x:col min="2" max="2" width="26" customWidth="1"/>
    <x:col min="3" max="3" width="10" customWidth="1"/>
    <x:col min="4" max="4" width="46" customWidth="1"/>
    <x:col min="5" max="9" width="9" customWidth="1"/>
    <x:col min="10" max="11" width="10" customWidth="1"/>
    <x:col min="12" max="12" width="30" customWidth="1"/>
    <x:col min="13" max="13" width="50" customWidth="1"/>
  </x:cols>
  <x:sheetData>
    <x:row r="1" ht="18" customHeight="1">
      <x:c r="A1" s="18" t="s">
        <x:v>364</x:v>
      </x:c>
    </x:row>
    <x:row r="2" ht="42" customHeight="1">
      <x:c r="A2" s="34" t="s">
        <x:v>365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</x:row>
    <x:row r="4" ht="32.099998474121094" customHeight="1">
      <x:c r="A4" s="19" t="s">
        <x:v>366</x:v>
      </x:c>
      <x:c r="B4" s="19" t="s">
        <x:v>367</x:v>
      </x:c>
      <x:c r="C4" s="19" t="s">
        <x:v>368</x:v>
      </x:c>
      <x:c r="D4" s="19" t="s">
        <x:v>369</x:v>
      </x:c>
      <x:c r="E4" s="19" t="s">
        <x:v>370</x:v>
      </x:c>
      <x:c r="F4" s="19" t="s">
        <x:v>371</x:v>
      </x:c>
      <x:c r="G4" s="19" t="s">
        <x:v>372</x:v>
      </x:c>
      <x:c r="H4" s="19" t="s">
        <x:v>373</x:v>
      </x:c>
      <x:c r="I4" s="19" t="s">
        <x:v>374</x:v>
      </x:c>
      <x:c r="J4" s="19" t="s">
        <x:v>375</x:v>
      </x:c>
      <x:c r="K4" s="19" t="s">
        <x:v>376</x:v>
      </x:c>
      <x:c r="L4" s="19" t="s">
        <x:v>377</x:v>
      </x:c>
      <x:c r="M4" s="19" t="s">
        <x:v>378</x:v>
      </x:c>
    </x:row>
    <x:row r="5" ht="25.5" customHeight="1">
      <x:c r="A5" s="20" t="s">
        <x:v>379</x:v>
      </x:c>
      <x:c r="B5" s="21" t="s">
        <x:v>380</x:v>
      </x:c>
      <x:c r="C5" s="21" t="s">
        <x:v>381</x:v>
      </x:c>
      <x:c r="D5" s="21" t="s">
        <x:v>382</x:v>
      </x:c>
      <x:c r="E5" s="22">
        <x:v>70</x:v>
      </x:c>
      <x:c r="F5" s="22">
        <x:v>1</x:v>
      </x:c>
      <x:c r="G5" s="22">
        <x:v>7</x:v>
      </x:c>
      <x:c r="H5" s="23">
        <x:v>0.6</x:v>
      </x:c>
      <x:c r="I5" s="23">
        <x:v>2</x:v>
      </x:c>
      <x:c r="J5" s="24" t="n">
        <x:f t="shared" ref="J5:J20" si="0">F5*H5</x:f>
        <x:v>0.6</x:v>
      </x:c>
      <x:c r="K5" s="24" t="n">
        <x:f t="shared" ref="K5:K20" si="1">G5*I5</x:f>
        <x:v>14</x:v>
      </x:c>
      <x:c r="L5" s="21" t="s">
        <x:v>383</x:v>
      </x:c>
      <x:c r="M5" s="21" t="s">
        <x:v>384</x:v>
      </x:c>
    </x:row>
    <x:row r="6">
      <x:c r="A6" s="20" t="s">
        <x:v>379</x:v>
      </x:c>
      <x:c r="B6" s="21" t="s">
        <x:v>380</x:v>
      </x:c>
      <x:c r="C6" s="21" t="s">
        <x:v>381</x:v>
      </x:c>
      <x:c r="D6" s="21" t="s">
        <x:v>385</x:v>
      </x:c>
      <x:c r="E6" s="22">
        <x:v>10</x:v>
      </x:c>
      <x:c r="F6" s="22">
        <x:v>10</x:v>
      </x:c>
      <x:c r="G6" s="22">
        <x:v>10</x:v>
      </x:c>
      <x:c r="H6" s="23">
        <x:v>0.02</x:v>
      </x:c>
      <x:c r="I6" s="23">
        <x:v>0.05</x:v>
      </x:c>
      <x:c r="J6" s="24">
        <x:f t="shared" si="0"/>
        <x:v>0.2</x:v>
      </x:c>
      <x:c r="K6" s="24">
        <x:f t="shared" si="1"/>
        <x:v>0.5</x:v>
      </x:c>
      <x:c r="L6" s="21" t="s">
        <x:v>386</x:v>
      </x:c>
      <x:c r="M6" s="21" t="s">
        <x:v>387</x:v>
      </x:c>
    </x:row>
    <x:row r="7">
      <x:c r="A7" s="20" t="s">
        <x:v>379</x:v>
      </x:c>
      <x:c r="B7" s="21" t="s">
        <x:v>380</x:v>
      </x:c>
      <x:c r="C7" s="21" t="s">
        <x:v>388</x:v>
      </x:c>
      <x:c r="D7" s="21" t="s">
        <x:v>389</x:v>
      </x:c>
      <x:c r="E7" s="22">
        <x:v>1</x:v>
      </x:c>
      <x:c r="F7" s="22">
        <x:v>1</x:v>
      </x:c>
      <x:c r="G7" s="22">
        <x:v>1</x:v>
      </x:c>
      <x:c r="H7" s="23">
        <x:v>1.5</x:v>
      </x:c>
      <x:c r="I7" s="23">
        <x:v>3</x:v>
      </x:c>
      <x:c r="J7" s="24">
        <x:f t="shared" si="0"/>
        <x:v>1.5</x:v>
      </x:c>
      <x:c r="K7" s="24">
        <x:f t="shared" si="1"/>
        <x:v>3</x:v>
      </x:c>
      <x:c r="L7" s="21" t="s">
        <x:v>390</x:v>
      </x:c>
      <x:c r="M7" s="21" t="s">
        <x:v>391</x:v>
      </x:c>
    </x:row>
    <x:row r="8">
      <x:c r="A8" s="20" t="s">
        <x:v>379</x:v>
      </x:c>
      <x:c r="B8" s="21" t="s">
        <x:v>380</x:v>
      </x:c>
      <x:c r="C8" s="21" t="s">
        <x:v>388</x:v>
      </x:c>
      <x:c r="D8" s="21" t="s">
        <x:v>392</x:v>
      </x:c>
      <x:c r="E8" s="22">
        <x:v>1</x:v>
      </x:c>
      <x:c r="F8" s="22">
        <x:v>1</x:v>
      </x:c>
      <x:c r="G8" s="22">
        <x:v>1</x:v>
      </x:c>
      <x:c r="H8" s="23">
        <x:v>0.4</x:v>
      </x:c>
      <x:c r="I8" s="23">
        <x:v>0.8</x:v>
      </x:c>
      <x:c r="J8" s="24">
        <x:f t="shared" si="0"/>
        <x:v>0.4</x:v>
      </x:c>
      <x:c r="K8" s="24">
        <x:f t="shared" si="1"/>
        <x:v>0.8</x:v>
      </x:c>
      <x:c r="L8" s="21" t="s">
        <x:v>393</x:v>
      </x:c>
      <x:c r="M8" s="21" t="s">
        <x:v>387</x:v>
      </x:c>
    </x:row>
    <x:row r="9" ht="25.5" customHeight="1">
      <x:c r="A9" s="20" t="s">
        <x:v>379</x:v>
      </x:c>
      <x:c r="B9" s="21" t="s">
        <x:v>380</x:v>
      </x:c>
      <x:c r="C9" s="21" t="s">
        <x:v>388</x:v>
      </x:c>
      <x:c r="D9" s="21" t="s">
        <x:v>394</x:v>
      </x:c>
      <x:c r="E9" s="22">
        <x:v>2</x:v>
      </x:c>
      <x:c r="F9" s="22">
        <x:v>2</x:v>
      </x:c>
      <x:c r="G9" s="22">
        <x:v>2</x:v>
      </x:c>
      <x:c r="H9" s="23">
        <x:v>0.3</x:v>
      </x:c>
      <x:c r="I9" s="23">
        <x:v>0.4</x:v>
      </x:c>
      <x:c r="J9" s="24">
        <x:f t="shared" si="0"/>
        <x:v>0.6</x:v>
      </x:c>
      <x:c r="K9" s="24">
        <x:f t="shared" si="1"/>
        <x:v>0.8</x:v>
      </x:c>
      <x:c r="L9" s="21" t="s">
        <x:v>395</x:v>
      </x:c>
      <x:c r="M9" s="21" t="s">
        <x:v>396</x:v>
      </x:c>
    </x:row>
    <x:row r="10" ht="25.5">
      <x:c r="A10" s="25" t="s">
        <x:v>397</x:v>
      </x:c>
      <x:c r="B10" s="21" t="s">
        <x:v>398</x:v>
      </x:c>
      <x:c r="C10" s="21" t="s">
        <x:v>399</x:v>
      </x:c>
      <x:c r="D10" s="21" t="s">
        <x:v>400</x:v>
      </x:c>
      <x:c r="E10" s="22">
        <x:v>1</x:v>
      </x:c>
      <x:c r="F10" s="22">
        <x:v>1</x:v>
      </x:c>
      <x:c r="G10" s="22">
        <x:v>1</x:v>
      </x:c>
      <x:c r="H10" s="23">
        <x:v>0.5</x:v>
      </x:c>
      <x:c r="I10" s="23">
        <x:v>2</x:v>
      </x:c>
      <x:c r="J10" s="24">
        <x:f t="shared" si="0"/>
        <x:v>0.5</x:v>
      </x:c>
      <x:c r="K10" s="24">
        <x:f t="shared" si="1"/>
        <x:v>2</x:v>
      </x:c>
      <x:c r="L10" s="21" t="s">
        <x:v>386</x:v>
      </x:c>
      <x:c r="M10" s="21" t="s">
        <x:v>401</x:v>
      </x:c>
    </x:row>
    <x:row r="11">
      <x:c r="A11" s="25" t="s">
        <x:v>397</x:v>
      </x:c>
      <x:c r="B11" s="21" t="s">
        <x:v>398</x:v>
      </x:c>
      <x:c r="C11" s="21" t="s">
        <x:v>402</x:v>
      </x:c>
      <x:c r="D11" s="21" t="s">
        <x:v>403</x:v>
      </x:c>
      <x:c r="E11" s="22">
        <x:v>1</x:v>
      </x:c>
      <x:c r="F11" s="22">
        <x:v>1</x:v>
      </x:c>
      <x:c r="G11" s="22">
        <x:v>1</x:v>
      </x:c>
      <x:c r="H11" s="23">
        <x:v>0.3</x:v>
      </x:c>
      <x:c r="I11" s="23">
        <x:v>0.4</x:v>
      </x:c>
      <x:c r="J11" s="24">
        <x:f t="shared" si="0"/>
        <x:v>0.3</x:v>
      </x:c>
      <x:c r="K11" s="24">
        <x:f t="shared" si="1"/>
        <x:v>0.4</x:v>
      </x:c>
      <x:c r="L11" s="21" t="s">
        <x:v>386</x:v>
      </x:c>
      <x:c r="M11" s="21" t="s">
        <x:v>387</x:v>
      </x:c>
    </x:row>
    <x:row r="12" ht="25.5" customHeight="1">
      <x:c r="A12" s="25" t="s">
        <x:v>397</x:v>
      </x:c>
      <x:c r="B12" s="21" t="s">
        <x:v>398</x:v>
      </x:c>
      <x:c r="C12" s="21" t="s">
        <x:v>402</x:v>
      </x:c>
      <x:c r="D12" s="21" t="s">
        <x:v>404</x:v>
      </x:c>
      <x:c r="E12" s="22">
        <x:v>1</x:v>
      </x:c>
      <x:c r="F12" s="22">
        <x:v>1</x:v>
      </x:c>
      <x:c r="G12" s="22">
        <x:v>1</x:v>
      </x:c>
      <x:c r="H12" s="23">
        <x:v>0.3</x:v>
      </x:c>
      <x:c r="I12" s="23">
        <x:v>1.5</x:v>
      </x:c>
      <x:c r="J12" s="24">
        <x:f t="shared" si="0"/>
        <x:v>0.3</x:v>
      </x:c>
      <x:c r="K12" s="24">
        <x:f t="shared" si="1"/>
        <x:v>1.5</x:v>
      </x:c>
      <x:c r="L12" s="21" t="s">
        <x:v>405</x:v>
      </x:c>
      <x:c r="M12" s="21" t="s">
        <x:v>406</x:v>
      </x:c>
    </x:row>
    <x:row r="13" ht="25.5" customHeight="1">
      <x:c r="A13" s="25" t="s">
        <x:v>397</x:v>
      </x:c>
      <x:c r="B13" s="21" t="s">
        <x:v>398</x:v>
      </x:c>
      <x:c r="C13" s="21" t="s">
        <x:v>402</x:v>
      </x:c>
      <x:c r="D13" s="21" t="s">
        <x:v>407</x:v>
      </x:c>
      <x:c r="E13" s="22">
        <x:v>1</x:v>
      </x:c>
      <x:c r="F13" s="22">
        <x:v>1</x:v>
      </x:c>
      <x:c r="G13" s="22">
        <x:v>1</x:v>
      </x:c>
      <x:c r="H13" s="23">
        <x:v>0.2</x:v>
      </x:c>
      <x:c r="I13" s="23">
        <x:v>0.3</x:v>
      </x:c>
      <x:c r="J13" s="24">
        <x:f t="shared" si="0"/>
        <x:v>0.2</x:v>
      </x:c>
      <x:c r="K13" s="24">
        <x:f t="shared" si="1"/>
        <x:v>0.3</x:v>
      </x:c>
      <x:c r="L13" s="21" t="s">
        <x:v>386</x:v>
      </x:c>
      <x:c r="M13" s="21" t="s">
        <x:v>387</x:v>
      </x:c>
    </x:row>
    <x:row r="14" ht="25.5" customHeight="1">
      <x:c r="A14" s="25" t="s">
        <x:v>397</x:v>
      </x:c>
      <x:c r="B14" s="21" t="s">
        <x:v>398</x:v>
      </x:c>
      <x:c r="C14" s="21" t="s">
        <x:v>402</x:v>
      </x:c>
      <x:c r="D14" s="21" t="s">
        <x:v>408</x:v>
      </x:c>
      <x:c r="E14" s="22">
        <x:v>3</x:v>
      </x:c>
      <x:c r="F14" s="22">
        <x:v>1</x:v>
      </x:c>
      <x:c r="G14" s="22">
        <x:v>3</x:v>
      </x:c>
      <x:c r="H14" s="23">
        <x:v>1</x:v>
      </x:c>
      <x:c r="I14" s="23">
        <x:v>1</x:v>
      </x:c>
      <x:c r="J14" s="24">
        <x:f t="shared" si="0"/>
        <x:v>1</x:v>
      </x:c>
      <x:c r="K14" s="24">
        <x:f t="shared" si="1"/>
        <x:v>3</x:v>
      </x:c>
      <x:c r="L14" s="21" t="s">
        <x:v>409</x:v>
      </x:c>
      <x:c r="M14" s="21" t="s">
        <x:v>410</x:v>
      </x:c>
    </x:row>
    <x:row r="15" ht="25.5" customHeight="1">
      <x:c r="A15" s="25" t="s">
        <x:v>397</x:v>
      </x:c>
      <x:c r="B15" s="21" t="s">
        <x:v>398</x:v>
      </x:c>
      <x:c r="C15" s="21" t="s">
        <x:v>411</x:v>
      </x:c>
      <x:c r="D15" s="21" t="s">
        <x:v>412</x:v>
      </x:c>
      <x:c r="E15" s="22">
        <x:v>10</x:v>
      </x:c>
      <x:c r="F15" s="22">
        <x:v>10</x:v>
      </x:c>
      <x:c r="G15" s="22">
        <x:v>10</x:v>
      </x:c>
      <x:c r="H15" s="23">
        <x:v>0.15</x:v>
      </x:c>
      <x:c r="I15" s="23">
        <x:v>0.25</x:v>
      </x:c>
      <x:c r="J15" s="24">
        <x:f t="shared" si="0"/>
        <x:v>1.5</x:v>
      </x:c>
      <x:c r="K15" s="24">
        <x:f t="shared" si="1"/>
        <x:v>2.5</x:v>
      </x:c>
      <x:c r="L15" s="21" t="s">
        <x:v>386</x:v>
      </x:c>
      <x:c r="M15" s="21" t="s">
        <x:v>413</x:v>
      </x:c>
    </x:row>
    <x:row r="16" ht="25.5" customHeight="1">
      <x:c r="A16" s="25" t="s">
        <x:v>397</x:v>
      </x:c>
      <x:c r="B16" s="21" t="s">
        <x:v>398</x:v>
      </x:c>
      <x:c r="C16" s="21" t="s">
        <x:v>414</x:v>
      </x:c>
      <x:c r="D16" s="21" t="str">
        <x:v>IOCTRL · Waveshare ESP32-S3-ETH-8DI-8RO (8 relay coils)</x:v>
      </x:c>
      <x:c r="E16" s="22">
        <x:v>1</x:v>
      </x:c>
      <x:c r="F16" s="22">
        <x:v>1</x:v>
      </x:c>
      <x:c r="G16" s="22">
        <x:v>1</x:v>
      </x:c>
      <x:c r="H16" s="23">
        <x:v>0.3</x:v>
      </x:c>
      <x:c r="I16" s="23">
        <x:v>0.9</x:v>
      </x:c>
      <x:c r="J16" s="24">
        <x:f t="shared" si="0"/>
        <x:v>0.3</x:v>
      </x:c>
      <x:c r="K16" s="24">
        <x:f t="shared" si="1"/>
        <x:v>0.9</x:v>
      </x:c>
      <x:c r="L16" s="21" t="s">
        <x:v>415</x:v>
      </x:c>
      <x:c r="M16" s="21" t="s">
        <x:v>416</x:v>
      </x:c>
    </x:row>
    <x:row r="17" ht="25.5" customHeight="1">
      <x:c r="A17" s="25" t="s">
        <x:v>397</x:v>
      </x:c>
      <x:c r="B17" s="21" t="s">
        <x:v>398</x:v>
      </x:c>
      <x:c r="C17" s="21" t="s">
        <x:v>414</x:v>
      </x:c>
      <x:c r="D17" s="21" t="s">
        <x:v>417</x:v>
      </x:c>
      <x:c r="E17" s="22">
        <x:v>4</x:v>
      </x:c>
      <x:c r="F17" s="22">
        <x:v>0</x:v>
      </x:c>
      <x:c r="G17" s="22">
        <x:v>1</x:v>
      </x:c>
      <x:c r="H17" s="23">
        <x:v>0.6</x:v>
      </x:c>
      <x:c r="I17" s="23">
        <x:v>0.6</x:v>
      </x:c>
      <x:c r="J17" s="24">
        <x:f t="shared" si="0"/>
        <x:v>0</x:v>
      </x:c>
      <x:c r="K17" s="24">
        <x:f t="shared" si="1"/>
        <x:v>0.6</x:v>
      </x:c>
      <x:c r="L17" s="21" t="s">
        <x:v>418</x:v>
      </x:c>
      <x:c r="M17" s="21" t="s">
        <x:v>419</x:v>
      </x:c>
    </x:row>
    <x:row r="18" ht="25.5" customHeight="1">
      <x:c r="A18" s="25" t="s">
        <x:v>397</x:v>
      </x:c>
      <x:c r="B18" s="21" t="s">
        <x:v>398</x:v>
      </x:c>
      <x:c r="C18" s="21" t="s">
        <x:v>414</x:v>
      </x:c>
      <x:c r="D18" s="21" t="s">
        <x:v>420</x:v>
      </x:c>
      <x:c r="E18" s="22">
        <x:v>0</x:v>
      </x:c>
      <x:c r="F18" s="22">
        <x:v>0</x:v>
      </x:c>
      <x:c r="G18" s="22">
        <x:v>0</x:v>
      </x:c>
      <x:c r="H18" s="23">
        <x:v>0</x:v>
      </x:c>
      <x:c r="I18" s="23">
        <x:v>0</x:v>
      </x:c>
      <x:c r="J18" s="24">
        <x:f t="shared" si="0"/>
        <x:v>0</x:v>
      </x:c>
      <x:c r="K18" s="24">
        <x:f t="shared" si="1"/>
        <x:v>0</x:v>
      </x:c>
      <x:c r="L18" s="21" t="s">
        <x:v>421</x:v>
      </x:c>
      <x:c r="M18" s="21" t="s">
        <x:v>422</x:v>
      </x:c>
    </x:row>
    <x:row r="19" ht="25.5" customHeight="1">
      <x:c r="A19" s="26" t="s">
        <x:v>423</x:v>
      </x:c>
      <x:c r="B19" s="21" t="s">
        <x:v>424</x:v>
      </x:c>
      <x:c r="C19" s="21" t="s">
        <x:v>425</x:v>
      </x:c>
      <x:c r="D19" s="21" t="s">
        <x:v>426</x:v>
      </x:c>
      <x:c r="E19" s="22">
        <x:v>1</x:v>
      </x:c>
      <x:c r="F19" s="22">
        <x:v>1</x:v>
      </x:c>
      <x:c r="G19" s="22">
        <x:v>1</x:v>
      </x:c>
      <x:c r="H19" s="23">
        <x:v>1.5</x:v>
      </x:c>
      <x:c r="I19" s="23">
        <x:v>4</x:v>
      </x:c>
      <x:c r="J19" s="24">
        <x:f t="shared" si="0"/>
        <x:v>1.5</x:v>
      </x:c>
      <x:c r="K19" s="24">
        <x:f t="shared" si="1"/>
        <x:v>4</x:v>
      </x:c>
      <x:c r="L19" s="21" t="s">
        <x:v>427</x:v>
      </x:c>
      <x:c r="M19" s="21" t="s">
        <x:v>428</x:v>
      </x:c>
    </x:row>
    <x:row r="20" ht="25.5" customHeight="1">
      <x:c r="A20" s="26" t="s">
        <x:v>423</x:v>
      </x:c>
      <x:c r="B20" s="21" t="s">
        <x:v>424</x:v>
      </x:c>
      <x:c r="C20" s="21" t="s">
        <x:v>429</x:v>
      </x:c>
      <x:c r="D20" s="21" t="s">
        <x:v>430</x:v>
      </x:c>
      <x:c r="E20" s="22">
        <x:v>1</x:v>
      </x:c>
      <x:c r="F20" s="22">
        <x:v>1</x:v>
      </x:c>
      <x:c r="G20" s="22">
        <x:v>1</x:v>
      </x:c>
      <x:c r="H20" s="23">
        <x:v>1.5</x:v>
      </x:c>
      <x:c r="I20" s="23">
        <x:v>4</x:v>
      </x:c>
      <x:c r="J20" s="24">
        <x:f t="shared" si="0"/>
        <x:v>1.5</x:v>
      </x:c>
      <x:c r="K20" s="24">
        <x:f t="shared" si="1"/>
        <x:v>4</x:v>
      </x:c>
      <x:c r="L20" s="21" t="s">
        <x:v>431</x:v>
      </x:c>
      <x:c r="M20" s="21" t="s">
        <x:v>387</x:v>
      </x:c>
    </x:row>
    <x:row r="21" ht="25.5" customHeight="1"/>
    <x:row r="22" ht="15.75" customHeight="1">
      <x:c r="A22" s="27" t="s">
        <x:v>432</x:v>
      </x:c>
    </x:row>
    <x:row r="23" ht="15.75" customHeight="1">
      <x:c r="A23" s="19" t="s">
        <x:v>366</x:v>
      </x:c>
      <x:c r="B23" s="19" t="s">
        <x:v>367</x:v>
      </x:c>
      <x:c r="C23" s="19" t="s">
        <x:v>433</x:v>
      </x:c>
      <x:c r="D23" s="19" t="s">
        <x:v>434</x:v>
      </x:c>
      <x:c r="E23" s="19" t="s">
        <x:v>435</x:v>
      </x:c>
      <x:c r="F23" s="19" t="s">
        <x:v>436</x:v>
      </x:c>
      <x:c r="G23" s="19" t="s">
        <x:v>437</x:v>
      </x:c>
      <x:c r="H23" s="19" t="s">
        <x:v>438</x:v>
      </x:c>
      <x:c r="I23" s="19" t="s">
        <x:v>439</x:v>
      </x:c>
      <x:c r="J23" s="19" t="s">
        <x:v>440</x:v>
      </x:c>
      <x:c r="K23" s="19" t="s">
        <x:v>441</x:v>
      </x:c>
    </x:row>
    <x:row r="24" ht="30" customHeight="1">
      <x:c r="A24" s="20" t="s">
        <x:v>379</x:v>
      </x:c>
      <x:c r="B24" s="21" t="s">
        <x:v>319</x:v>
      </x:c>
      <x:c r="C24" s="22">
        <x:v>21</x:v>
      </x:c>
      <x:c r="D24" s="22">
        <x:v>500</x:v>
      </x:c>
      <x:c r="E24" s="28" t="n">
        <x:f>SUMIF($A$5:$A$20,A24,$J$5:$J$20)</x:f>
        <x:v>3.3</x:v>
      </x:c>
      <x:c r="F24" s="28" t="n">
        <x:f>SUMIF($A$5:$A$20,A24,$K$5:$K$20)</x:f>
        <x:v>19.1</x:v>
      </x:c>
      <x:c r="G24" s="29" t="n">
        <x:f>IF(C24&gt;0,F24/C24,0)</x:f>
        <x:v>0.9095238095238096</x:v>
      </x:c>
      <x:c r="H24" s="30" t="n">
        <x:f>E24*24</x:f>
        <x:v>79.19999999999999</x:v>
      </x:c>
      <x:c r="I24" s="30" t="n">
        <x:f>F24*24</x:f>
        <x:v>458.40000000000003</x:v>
      </x:c>
      <x:c r="J24" s="21" t="str">
        <x:f>IF(G24&gt;1,"OVER — resize PSU",IF(G24&gt;0.8,"tight — see note","OK"))</x:f>
        <x:v>tight — see note</x:v>
      </x:c>
      <x:c r="K24" s="21" t="s">
        <x:v>442</x:v>
      </x:c>
    </x:row>
    <x:row r="25" ht="204" customHeight="1">
      <x:c r="A25" s="25" t="s">
        <x:v>397</x:v>
      </x:c>
      <x:c r="B25" s="21" t="s">
        <x:v>325</x:v>
      </x:c>
      <x:c r="C25" s="22">
        <x:v>12.5</x:v>
      </x:c>
      <x:c r="D25" s="22">
        <x:v>150</x:v>
      </x:c>
      <x:c r="E25" s="28" t="n">
        <x:f>SUMIF($A$5:$A$20,A25,$J$5:$J$20)</x:f>
        <x:v>4.1</x:v>
      </x:c>
      <x:c r="F25" s="28" t="n">
        <x:f>SUMIF($A$5:$A$20,A25,$K$5:$K$20)</x:f>
        <x:v>11.2</x:v>
      </x:c>
      <x:c r="G25" s="29" t="n">
        <x:f>IF(C25&gt;0,F25/C25,0)</x:f>
        <x:v>0.8959999999999999</x:v>
      </x:c>
      <x:c r="H25" s="30" t="n">
        <x:f>E25*12</x:f>
        <x:v>49.199999999999996</x:v>
      </x:c>
      <x:c r="I25" s="30" t="n">
        <x:f>F25*12</x:f>
        <x:v>134.39999999999998</x:v>
      </x:c>
      <x:c r="J25" s="21" t="str">
        <x:f>IF(G25&gt;1,"OVER — resize PSU",IF(G25&gt;0.8,"tight — see note","OK"))</x:f>
        <x:v>tight — see note</x:v>
      </x:c>
      <x:c r="K25" s="21" t="s">
        <x:v>443</x:v>
      </x:c>
    </x:row>
    <x:row r="26" ht="242.25" customHeight="1">
      <x:c r="A26" s="26" t="s">
        <x:v>423</x:v>
      </x:c>
      <x:c r="B26" s="21" t="s">
        <x:v>444</x:v>
      </x:c>
      <x:c r="C26" s="22">
        <x:v>10.4</x:v>
      </x:c>
      <x:c r="D26" s="22">
        <x:v>500</x:v>
      </x:c>
      <x:c r="E26" s="28" t="n">
        <x:f>SUMIF($A$5:$A$20,A26,$J$5:$J$20)</x:f>
        <x:v>3</x:v>
      </x:c>
      <x:c r="F26" s="28" t="n">
        <x:f>SUMIF($A$5:$A$20,A26,$K$5:$K$20)</x:f>
        <x:v>8</x:v>
      </x:c>
      <x:c r="G26" s="29" t="n">
        <x:f>IF(C26&gt;0,F26/C26,0)</x:f>
        <x:v>0.7692307692307692</x:v>
      </x:c>
      <x:c r="H26" s="30" t="n">
        <x:f>E26*48</x:f>
        <x:v>144</x:v>
      </x:c>
      <x:c r="I26" s="30" t="n">
        <x:f>F26*48</x:f>
        <x:v>384</x:v>
      </x:c>
      <x:c r="J26" s="21" t="str">
        <x:f>IF(G26&gt;1,"OVER — resize PSU",IF(G26&gt;0.8,"tight — see note","OK"))</x:f>
        <x:v>OK</x:v>
      </x:c>
      <x:c r="K26" s="21" t="s">
        <x:v>445</x:v>
      </x:c>
    </x:row>
    <x:row r="27" ht="76.5" customHeight="1"/>
    <x:row r="28" ht="15.75" customHeight="1">
      <x:c r="A28" s="27" t="s">
        <x:v>446</x:v>
      </x:c>
    </x:row>
    <x:row r="29" ht="15.75" customHeight="1">
      <x:c r="A29" s="36" t="s">
        <x:v>447</x:v>
      </x:c>
      <x:c r="B29" s="35"/>
      <x:c r="C29" s="35"/>
      <x:c r="D29" s="31">
        <x:v>0.88</x:v>
      </x:c>
    </x:row>
    <x:row r="30">
      <x:c r="A30" s="36" t="s">
        <x:v>448</x:v>
      </x:c>
      <x:c r="B30" s="35"/>
      <x:c r="C30" s="35"/>
      <x:c r="D30" s="32" t="n">
        <x:f>(H24+H25+H26)/D29</x:f>
        <x:v>309.5454545454545</x:v>
      </x:c>
    </x:row>
    <x:row r="31">
      <x:c r="A31" s="36" t="s">
        <x:v>449</x:v>
      </x:c>
      <x:c r="B31" s="35"/>
      <x:c r="C31" s="35"/>
      <x:c r="D31" s="32" t="n">
        <x:f>(I24+I25+I26)/D29</x:f>
        <x:v>1110</x:v>
      </x:c>
    </x:row>
    <x:row r="32">
      <x:c r="A32" s="36" t="s">
        <x:v>450</x:v>
      </x:c>
      <x:c r="B32" s="35"/>
      <x:c r="C32" s="35"/>
      <x:c r="D32" s="33" t="n">
        <x:f>D31/120</x:f>
        <x:v>9.25</x:v>
      </x:c>
    </x:row>
    <x:row r="33">
      <x:c r="A33" s="36" t="s">
        <x:v>451</x:v>
      </x:c>
      <x:c r="B33" s="35"/>
      <x:c r="C33" s="35"/>
      <x:c r="D33" s="33" t="n">
        <x:f>D31/230</x:f>
        <x:v>4.826086956521739</x:v>
      </x:c>
    </x:row>
    <x:row r="34">
      <x:c r="A34" s="36" t="s">
        <x:v>452</x:v>
      </x:c>
      <x:c r="B34" s="35"/>
      <x:c r="C34" s="35"/>
      <x:c r="D34" s="3" t="s">
        <x:v>453</x:v>
      </x:c>
    </x:row>
    <x:row r="36">
      <x:c r="A36" s="34" t="str">
        <x:v>Fuse cross-check: F1–F10 (5 A per row) allow 2 lanes of one row at stall; F11 (6 A) covers chuck + brakes; F12 (6 A) covers SYSCTRL + servo + lights; F13 (3 A) MAINCTRL; F14 (3 A) lane logic bus; F15 / F16 (5 A) each drive; F17 (3 A) IOCTRL + one latch. See the Fuses sheet.</x:v>
      </x:c>
      <x:c r="B36" s="35"/>
      <x:c r="C36" s="35"/>
      <x:c r="D36" s="35"/>
      <x:c r="E36" s="35"/>
      <x:c r="F36" s="35"/>
      <x:c r="G36" s="35"/>
      <x:c r="H36" s="35"/>
      <x:c r="I36" s="35"/>
      <x:c r="J36" s="35"/>
      <x:c r="K36" s="35"/>
      <x:c r="L36" s="35"/>
      <x:c r="M36" s="35"/>
    </x:row>
    <x:row r="37" ht="30" customHeight="1"/>
  </x:sheetData>
  <x:mergeCells>
    <x:mergeCell ref="A29:C29"/>
    <x:mergeCell ref="A2:M2"/>
    <x:mergeCell ref="A36:M36"/>
    <x:mergeCell ref="A33:C33"/>
    <x:mergeCell ref="A32:C32"/>
    <x:mergeCell ref="A31:C31"/>
    <x:mergeCell ref="A30:C30"/>
    <x:mergeCell ref="A34:C3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customWidth="1"/>
    <x:col min="2" max="2" width="8" customWidth="1"/>
    <x:col min="3" max="3" width="40" customWidth="1"/>
    <x:col min="4" max="4" width="12" customWidth="1"/>
    <x:col min="5" max="5" width="16" customWidth="1"/>
  </x:cols>
  <x:sheetData>
    <x:row r="1" ht="18" customHeight="1">
      <x:c r="A1" s="1" t="s">
        <x:v>454</x:v>
      </x:c>
    </x:row>
    <x:row r="2">
      <x:c r="A2" s="2" t="s">
        <x:v>455</x:v>
      </x:c>
    </x:row>
    <x:row r="4" ht="30" customHeight="1">
      <x:c r="A4" s="5" t="s">
        <x:v>368</x:v>
      </x:c>
      <x:c r="B4" s="5" t="s">
        <x:v>366</x:v>
      </x:c>
      <x:c r="C4" s="5" t="s">
        <x:v>369</x:v>
      </x:c>
      <x:c r="D4" s="5" t="s">
        <x:v>456</x:v>
      </x:c>
      <x:c r="E4" s="5" t="s">
        <x:v>128</x:v>
      </x:c>
    </x:row>
    <x:row r="5">
      <x:c r="A5" s="6" t="s">
        <x:v>381</x:v>
      </x:c>
      <x:c r="B5" s="6" t="s">
        <x:v>379</x:v>
      </x:c>
      <x:c r="C5" s="6" t="s">
        <x:v>457</x:v>
      </x:c>
      <x:c r="D5" s="6">
        <x:v>5</x:v>
      </x:c>
      <x:c r="E5" s="6" t="s">
        <x:v>458</x:v>
      </x:c>
    </x:row>
    <x:row r="6">
      <x:c r="A6" s="6" t="s">
        <x:v>388</x:v>
      </x:c>
      <x:c r="B6" s="6" t="s">
        <x:v>379</x:v>
      </x:c>
      <x:c r="C6" s="6" t="s">
        <x:v>459</x:v>
      </x:c>
      <x:c r="D6" s="6">
        <x:v>6</x:v>
      </x:c>
      <x:c r="E6" s="6" t="s">
        <x:v>165</x:v>
      </x:c>
    </x:row>
    <x:row r="7">
      <x:c r="A7" s="6" t="s">
        <x:v>402</x:v>
      </x:c>
      <x:c r="B7" s="6" t="s">
        <x:v>397</x:v>
      </x:c>
      <x:c r="C7" s="6" t="s">
        <x:v>460</x:v>
      </x:c>
      <x:c r="D7" s="6">
        <x:v>6</x:v>
      </x:c>
      <x:c r="E7" s="6" t="s">
        <x:v>170</x:v>
      </x:c>
    </x:row>
    <x:row r="8">
      <x:c r="A8" s="6" t="s">
        <x:v>399</x:v>
      </x:c>
      <x:c r="B8" s="6" t="s">
        <x:v>397</x:v>
      </x:c>
      <x:c r="C8" s="6" t="s">
        <x:v>106</x:v>
      </x:c>
      <x:c r="D8" s="6">
        <x:v>3</x:v>
      </x:c>
      <x:c r="E8" s="6" t="s">
        <x:v>160</x:v>
      </x:c>
    </x:row>
    <x:row r="9" ht="25.5" customHeight="1">
      <x:c r="A9" s="6" t="s">
        <x:v>411</x:v>
      </x:c>
      <x:c r="B9" s="6" t="s">
        <x:v>397</x:v>
      </x:c>
      <x:c r="C9" s="6" t="s">
        <x:v>461</x:v>
      </x:c>
      <x:c r="D9" s="6">
        <x:v>3</x:v>
      </x:c>
      <x:c r="E9" s="6" t="s">
        <x:v>462</x:v>
      </x:c>
    </x:row>
    <x:row r="10">
      <x:c r="A10" s="6" t="s">
        <x:v>425</x:v>
      </x:c>
      <x:c r="B10" s="6" t="s">
        <x:v>423</x:v>
      </x:c>
      <x:c r="C10" s="6" t="s">
        <x:v>463</x:v>
      </x:c>
      <x:c r="D10" s="6">
        <x:v>5</x:v>
      </x:c>
      <x:c r="E10" s="6" t="s">
        <x:v>175</x:v>
      </x:c>
    </x:row>
    <x:row r="11">
      <x:c r="A11" s="6" t="s">
        <x:v>429</x:v>
      </x:c>
      <x:c r="B11" s="6" t="s">
        <x:v>423</x:v>
      </x:c>
      <x:c r="C11" s="6" t="s">
        <x:v>464</x:v>
      </x:c>
      <x:c r="D11" s="6">
        <x:v>5</x:v>
      </x:c>
      <x:c r="E11" s="6" t="s">
        <x:v>180</x:v>
      </x:c>
    </x:row>
    <x:row r="12">
      <x:c r="A12" s="14" t="s">
        <x:v>414</x:v>
      </x:c>
      <x:c r="B12" s="14" t="s">
        <x:v>397</x:v>
      </x:c>
      <x:c r="C12" s="14" t="str">
        <x:v>IOCTRL module + latch coils</x:v>
      </x:c>
      <x:c r="D12" s="14">
        <x:v>3</x:v>
      </x:c>
      <x:c r="E12" s="14" t="s">
        <x:v>274</x:v>
      </x:c>
    </x:row>
  </x:sheetData>
  <x:pageMargins left="0.7" right="0.7" top="0.75" bottom="0.75" header="0.3" footer="0.3"/>
</x:worksheet>
</file>